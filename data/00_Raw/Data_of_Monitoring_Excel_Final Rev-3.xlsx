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122\Habilitace\MGD-RSS\MGD-RSS\data\00_Raw\"/>
    </mc:Choice>
  </mc:AlternateContent>
  <xr:revisionPtr revIDLastSave="0" documentId="13_ncr:1_{FB7D7400-D27B-47F1-A708-63C174B17C8A}" xr6:coauthVersionLast="47" xr6:coauthVersionMax="47" xr10:uidLastSave="{00000000-0000-0000-0000-000000000000}"/>
  <bookViews>
    <workbookView xWindow="-110" yWindow="-110" windowWidth="38620" windowHeight="21100" activeTab="11" xr2:uid="{810E1FD2-EB61-42C4-915F-9778C1211FE0}"/>
  </bookViews>
  <sheets>
    <sheet name="Sheet1" sheetId="1" r:id="rId1"/>
    <sheet name="List1" sheetId="2" r:id="rId2"/>
    <sheet name="List2" sheetId="3" r:id="rId3"/>
    <sheet name="List1 (2)" sheetId="4" r:id="rId4"/>
    <sheet name="List1 (3)" sheetId="5" r:id="rId5"/>
    <sheet name="Sheet4" sheetId="6" r:id="rId6"/>
    <sheet name="Sheet1 (2)" sheetId="7" r:id="rId7"/>
    <sheet name="Sheet1 (3)" sheetId="8" r:id="rId8"/>
    <sheet name="Sheet5" sheetId="9" r:id="rId9"/>
    <sheet name="Sheet6" sheetId="10" r:id="rId10"/>
    <sheet name="Timelaps-1-4" sheetId="11" r:id="rId11"/>
    <sheet name="Timelaps-5-10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5" l="1"/>
  <c r="F139" i="5"/>
  <c r="G139" i="5" s="1"/>
  <c r="E41" i="5"/>
  <c r="F41" i="5"/>
  <c r="G41" i="5"/>
  <c r="E42" i="5"/>
  <c r="F42" i="5"/>
  <c r="G42" i="5"/>
  <c r="E43" i="5"/>
  <c r="F43" i="5"/>
  <c r="G43" i="5"/>
  <c r="E33" i="5"/>
  <c r="F33" i="5"/>
  <c r="G33" i="5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2" i="9"/>
  <c r="E3" i="9"/>
  <c r="F3" i="9"/>
  <c r="E4" i="9"/>
  <c r="F4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G33" i="9" s="1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E44" i="9"/>
  <c r="F44" i="9"/>
  <c r="E45" i="9"/>
  <c r="F45" i="9"/>
  <c r="E46" i="9"/>
  <c r="F46" i="9"/>
  <c r="E47" i="9"/>
  <c r="F47" i="9"/>
  <c r="E48" i="9"/>
  <c r="F48" i="9"/>
  <c r="E49" i="9"/>
  <c r="F49" i="9"/>
  <c r="E50" i="9"/>
  <c r="F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E103" i="9"/>
  <c r="F103" i="9"/>
  <c r="E104" i="9"/>
  <c r="F104" i="9"/>
  <c r="E105" i="9"/>
  <c r="F105" i="9"/>
  <c r="E106" i="9"/>
  <c r="F106" i="9"/>
  <c r="E107" i="9"/>
  <c r="F107" i="9"/>
  <c r="E108" i="9"/>
  <c r="F108" i="9"/>
  <c r="E109" i="9"/>
  <c r="F109" i="9"/>
  <c r="E110" i="9"/>
  <c r="F110" i="9"/>
  <c r="E111" i="9"/>
  <c r="F111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F2" i="9"/>
  <c r="E2" i="9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2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5" i="8"/>
  <c r="H34" i="8"/>
  <c r="H31" i="8"/>
  <c r="H30" i="8"/>
  <c r="H29" i="8"/>
  <c r="H28" i="8"/>
  <c r="H27" i="8"/>
  <c r="H26" i="8"/>
  <c r="H25" i="8"/>
  <c r="H23" i="8"/>
  <c r="H21" i="8"/>
  <c r="H20" i="8"/>
  <c r="H19" i="8"/>
  <c r="H18" i="8"/>
  <c r="H17" i="8"/>
  <c r="H16" i="8"/>
  <c r="H15" i="8"/>
  <c r="H14" i="8"/>
  <c r="H13" i="8"/>
  <c r="H12" i="8"/>
  <c r="H11" i="8"/>
  <c r="H9" i="8"/>
  <c r="H8" i="8"/>
  <c r="H7" i="8"/>
  <c r="H6" i="8"/>
  <c r="H5" i="8"/>
  <c r="H4" i="8"/>
  <c r="H3" i="8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23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06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91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74" i="7"/>
  <c r="H72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55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38" i="7"/>
  <c r="H35" i="7"/>
  <c r="H34" i="7"/>
  <c r="H26" i="7"/>
  <c r="H27" i="7"/>
  <c r="H28" i="7"/>
  <c r="H29" i="7"/>
  <c r="H30" i="7"/>
  <c r="H31" i="7"/>
  <c r="H25" i="7"/>
  <c r="H23" i="7"/>
  <c r="H12" i="7"/>
  <c r="H13" i="7"/>
  <c r="H14" i="7"/>
  <c r="H15" i="7"/>
  <c r="H16" i="7"/>
  <c r="H17" i="7"/>
  <c r="H18" i="7"/>
  <c r="H19" i="7"/>
  <c r="H20" i="7"/>
  <c r="H21" i="7"/>
  <c r="H11" i="7"/>
  <c r="H4" i="7"/>
  <c r="H5" i="7"/>
  <c r="H6" i="7"/>
  <c r="H7" i="7"/>
  <c r="H8" i="7"/>
  <c r="H9" i="7"/>
  <c r="H3" i="7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4" i="5"/>
  <c r="F35" i="5"/>
  <c r="F36" i="5"/>
  <c r="F37" i="5"/>
  <c r="F38" i="5"/>
  <c r="F39" i="5"/>
  <c r="F40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40" i="5"/>
  <c r="F141" i="5"/>
  <c r="F14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4" i="5"/>
  <c r="E35" i="5"/>
  <c r="E36" i="5"/>
  <c r="E37" i="5"/>
  <c r="E38" i="5"/>
  <c r="E39" i="5"/>
  <c r="E40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G75" i="5" s="1"/>
  <c r="E76" i="5"/>
  <c r="G76" i="5" s="1"/>
  <c r="E77" i="5"/>
  <c r="G77" i="5" s="1"/>
  <c r="E78" i="5"/>
  <c r="G78" i="5" s="1"/>
  <c r="E79" i="5"/>
  <c r="G79" i="5" s="1"/>
  <c r="E80" i="5"/>
  <c r="G80" i="5" s="1"/>
  <c r="E81" i="5"/>
  <c r="G81" i="5" s="1"/>
  <c r="E82" i="5"/>
  <c r="G82" i="5" s="1"/>
  <c r="E83" i="5"/>
  <c r="G83" i="5" s="1"/>
  <c r="E84" i="5"/>
  <c r="G84" i="5" s="1"/>
  <c r="E85" i="5"/>
  <c r="G85" i="5" s="1"/>
  <c r="E86" i="5"/>
  <c r="G86" i="5" s="1"/>
  <c r="E87" i="5"/>
  <c r="G87" i="5" s="1"/>
  <c r="E88" i="5"/>
  <c r="G88" i="5" s="1"/>
  <c r="E89" i="5"/>
  <c r="G89" i="5" s="1"/>
  <c r="E90" i="5"/>
  <c r="G90" i="5" s="1"/>
  <c r="E91" i="5"/>
  <c r="G91" i="5" s="1"/>
  <c r="E92" i="5"/>
  <c r="G92" i="5" s="1"/>
  <c r="E93" i="5"/>
  <c r="G93" i="5" s="1"/>
  <c r="E94" i="5"/>
  <c r="G94" i="5" s="1"/>
  <c r="E95" i="5"/>
  <c r="G95" i="5" s="1"/>
  <c r="E96" i="5"/>
  <c r="G96" i="5" s="1"/>
  <c r="E97" i="5"/>
  <c r="G97" i="5" s="1"/>
  <c r="E98" i="5"/>
  <c r="G98" i="5" s="1"/>
  <c r="E99" i="5"/>
  <c r="G99" i="5" s="1"/>
  <c r="E100" i="5"/>
  <c r="G100" i="5" s="1"/>
  <c r="E101" i="5"/>
  <c r="G101" i="5" s="1"/>
  <c r="E102" i="5"/>
  <c r="G102" i="5" s="1"/>
  <c r="E103" i="5"/>
  <c r="G103" i="5" s="1"/>
  <c r="E104" i="5"/>
  <c r="G104" i="5" s="1"/>
  <c r="E105" i="5"/>
  <c r="G105" i="5" s="1"/>
  <c r="E106" i="5"/>
  <c r="G106" i="5" s="1"/>
  <c r="E107" i="5"/>
  <c r="G107" i="5" s="1"/>
  <c r="E108" i="5"/>
  <c r="G108" i="5" s="1"/>
  <c r="E109" i="5"/>
  <c r="G109" i="5" s="1"/>
  <c r="E110" i="5"/>
  <c r="G110" i="5" s="1"/>
  <c r="E111" i="5"/>
  <c r="G111" i="5" s="1"/>
  <c r="E112" i="5"/>
  <c r="G112" i="5" s="1"/>
  <c r="E113" i="5"/>
  <c r="G113" i="5" s="1"/>
  <c r="E114" i="5"/>
  <c r="G114" i="5" s="1"/>
  <c r="E115" i="5"/>
  <c r="G115" i="5" s="1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40" i="5"/>
  <c r="E141" i="5"/>
  <c r="E142" i="5"/>
  <c r="C136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20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05" i="4"/>
  <c r="C98" i="4"/>
  <c r="C99" i="4"/>
  <c r="C100" i="4"/>
  <c r="C101" i="4"/>
  <c r="C102" i="4"/>
  <c r="C103" i="4"/>
  <c r="C97" i="4"/>
  <c r="C91" i="4"/>
  <c r="C92" i="4"/>
  <c r="C93" i="4"/>
  <c r="C94" i="4"/>
  <c r="C95" i="4"/>
  <c r="C90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73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58" i="4"/>
  <c r="C50" i="4"/>
  <c r="C51" i="4"/>
  <c r="C52" i="4"/>
  <c r="C53" i="4"/>
  <c r="C54" i="4"/>
  <c r="C55" i="4"/>
  <c r="C56" i="4"/>
  <c r="C49" i="4"/>
  <c r="C42" i="4"/>
  <c r="C43" i="4"/>
  <c r="C44" i="4"/>
  <c r="C45" i="4"/>
  <c r="C46" i="4"/>
  <c r="C47" i="4"/>
  <c r="C41" i="4"/>
  <c r="C29" i="4"/>
  <c r="C30" i="4"/>
  <c r="C31" i="4"/>
  <c r="C32" i="4"/>
  <c r="C33" i="4"/>
  <c r="C34" i="4"/>
  <c r="C35" i="4"/>
  <c r="C36" i="4"/>
  <c r="C37" i="4"/>
  <c r="C38" i="4"/>
  <c r="C39" i="4"/>
  <c r="C28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13" i="4"/>
  <c r="C4" i="4"/>
  <c r="C5" i="4"/>
  <c r="C6" i="4"/>
  <c r="C7" i="4"/>
  <c r="C8" i="4"/>
  <c r="C9" i="4"/>
  <c r="C10" i="4"/>
  <c r="C11" i="4"/>
  <c r="C3" i="4"/>
  <c r="J2" i="5" l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40" i="5"/>
  <c r="G45" i="5"/>
  <c r="G47" i="5"/>
  <c r="G49" i="5"/>
  <c r="G68" i="5"/>
  <c r="G71" i="5"/>
  <c r="G24" i="5"/>
  <c r="G25" i="5"/>
  <c r="G26" i="5"/>
  <c r="G27" i="5"/>
  <c r="G28" i="5"/>
  <c r="G29" i="5"/>
  <c r="G30" i="5"/>
  <c r="G31" i="5"/>
  <c r="G32" i="5"/>
  <c r="G34" i="5"/>
  <c r="G35" i="5"/>
  <c r="G36" i="5"/>
  <c r="G37" i="5"/>
  <c r="G38" i="5"/>
  <c r="G39" i="5"/>
  <c r="G44" i="5"/>
  <c r="G46" i="5"/>
  <c r="G48" i="5"/>
  <c r="G50" i="5"/>
  <c r="G7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9" i="5"/>
  <c r="G72" i="5"/>
  <c r="G73" i="5"/>
  <c r="G74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40" i="5"/>
  <c r="G141" i="5"/>
  <c r="G142" i="5"/>
  <c r="K2" i="5" l="1"/>
  <c r="J5" i="5"/>
  <c r="G143" i="5"/>
  <c r="J3" i="5" s="1"/>
  <c r="K3" i="5" l="1"/>
  <c r="J6" i="5"/>
  <c r="L7" i="5" s="1"/>
</calcChain>
</file>

<file path=xl/sharedStrings.xml><?xml version="1.0" encoding="utf-8"?>
<sst xmlns="http://schemas.openxmlformats.org/spreadsheetml/2006/main" count="2024" uniqueCount="629">
  <si>
    <t>ID</t>
  </si>
  <si>
    <t>TYPE</t>
  </si>
  <si>
    <t>START</t>
  </si>
  <si>
    <t>CAL</t>
  </si>
  <si>
    <t>WALL</t>
  </si>
  <si>
    <t>END</t>
  </si>
  <si>
    <t>CORNER</t>
  </si>
  <si>
    <t>HALF</t>
  </si>
  <si>
    <t>BASIC</t>
  </si>
  <si>
    <t>Sloupec1</t>
  </si>
  <si>
    <t>DIST</t>
  </si>
  <si>
    <t>ROTATION</t>
  </si>
  <si>
    <t>X</t>
  </si>
  <si>
    <t>Y</t>
  </si>
  <si>
    <t>Z</t>
  </si>
  <si>
    <t>LAYER</t>
  </si>
  <si>
    <t>PALLET</t>
  </si>
  <si>
    <t>2731.367057</t>
  </si>
  <si>
    <t>252.5</t>
  </si>
  <si>
    <t>2596.795573</t>
  </si>
  <si>
    <t>2440.17233</t>
  </si>
  <si>
    <t>2350.74903</t>
  </si>
  <si>
    <t>2082.200999</t>
  </si>
  <si>
    <t>1804.15659</t>
  </si>
  <si>
    <t>1658.457416</t>
  </si>
  <si>
    <t>1539.799013</t>
  </si>
  <si>
    <t>1454.813046</t>
  </si>
  <si>
    <t>1409.603136</t>
  </si>
  <si>
    <t>1408.006037</t>
  </si>
  <si>
    <t>1450.165853</t>
  </si>
  <si>
    <t>1532.475448</t>
  </si>
  <si>
    <t>1648.933292</t>
  </si>
  <si>
    <t>1792.897376</t>
  </si>
  <si>
    <t>1958.310752</t>
  </si>
  <si>
    <t>2140.205831</t>
  </si>
  <si>
    <t>2334.733604</t>
  </si>
  <si>
    <t>2538.992123</t>
  </si>
  <si>
    <t>2750.814607</t>
  </si>
  <si>
    <t>2626.786249</t>
  </si>
  <si>
    <t>2533.113894</t>
  </si>
  <si>
    <t>2576.172743</t>
  </si>
  <si>
    <t>2642.284239</t>
  </si>
  <si>
    <t>2729.773983</t>
  </si>
  <si>
    <t>2836.664591</t>
  </si>
  <si>
    <t>2960.85562</t>
  </si>
  <si>
    <t>3100.268698</t>
  </si>
  <si>
    <t>3252.947279</t>
  </si>
  <si>
    <t>3417.113694</t>
  </si>
  <si>
    <t>3591.192838</t>
  </si>
  <si>
    <t>3773.813191</t>
  </si>
  <si>
    <t>3963.794394</t>
  </si>
  <si>
    <t>4160.128123</t>
  </si>
  <si>
    <t>4002.5</t>
  </si>
  <si>
    <t>4439.467001</t>
  </si>
  <si>
    <t>2642.042013</t>
  </si>
  <si>
    <t>2525.475648</t>
  </si>
  <si>
    <t>2386.638012</t>
  </si>
  <si>
    <t>2393.437068</t>
  </si>
  <si>
    <t>2426.116444</t>
  </si>
  <si>
    <t>2483.654767</t>
  </si>
  <si>
    <t>2564.379262</t>
  </si>
  <si>
    <t>2666.184727</t>
  </si>
  <si>
    <t>2786.761741</t>
  </si>
  <si>
    <t>2923.788809</t>
  </si>
  <si>
    <t>3075.067642</t>
  </si>
  <si>
    <t>3238.601704</t>
  </si>
  <si>
    <t>3412.629631</t>
  </si>
  <si>
    <t>3595.62804</t>
  </si>
  <si>
    <t>3786.296475</t>
  </si>
  <si>
    <t>3983.533733</t>
  </si>
  <si>
    <t>4318.560061</t>
  </si>
  <si>
    <t>2232.417076</t>
  </si>
  <si>
    <t>1902.920387</t>
  </si>
  <si>
    <t>1711.463117</t>
  </si>
  <si>
    <t>1536.914441</t>
  </si>
  <si>
    <t>1385.678895</t>
  </si>
  <si>
    <t>1266.138223</t>
  </si>
  <si>
    <t>1187.899827</t>
  </si>
  <si>
    <t>1159.355856</t>
  </si>
  <si>
    <t>1184.10557</t>
  </si>
  <si>
    <t>1259.009928</t>
  </si>
  <si>
    <t>1375.901886</t>
  </si>
  <si>
    <t>1525.157697</t>
  </si>
  <si>
    <t>1698.265586</t>
  </si>
  <si>
    <t>1888.678374</t>
  </si>
  <si>
    <t>2091.675405</t>
  </si>
  <si>
    <t>2303.932725</t>
  </si>
  <si>
    <t>2523.114345</t>
  </si>
  <si>
    <t>2544.894104</t>
  </si>
  <si>
    <t>2266.084122</t>
  </si>
  <si>
    <t>2096.063215</t>
  </si>
  <si>
    <t>1874.561549</t>
  </si>
  <si>
    <t>1661.168565</t>
  </si>
  <si>
    <t>1459.445443</t>
  </si>
  <si>
    <t>1274.943528</t>
  </si>
  <si>
    <t>1116.23519</t>
  </si>
  <si>
    <t>995.731389</t>
  </si>
  <si>
    <t>928.429319</t>
  </si>
  <si>
    <t>926.0027</t>
  </si>
  <si>
    <t>988.929219</t>
  </si>
  <si>
    <t>1106.110754</t>
  </si>
  <si>
    <t>1262.529604</t>
  </si>
  <si>
    <t>1445.503718</t>
  </si>
  <si>
    <t>1646.201992</t>
  </si>
  <si>
    <t>1858.892412</t>
  </si>
  <si>
    <t>2079.899276</t>
  </si>
  <si>
    <t>2306.833544</t>
  </si>
  <si>
    <t>2279.619705</t>
  </si>
  <si>
    <t>2300.362145</t>
  </si>
  <si>
    <t>2347.693762</t>
  </si>
  <si>
    <t>2420.054958</t>
  </si>
  <si>
    <t>2515.286465</t>
  </si>
  <si>
    <t>2630.905928</t>
  </si>
  <si>
    <t>2764.356345</t>
  </si>
  <si>
    <t>2913.188288</t>
  </si>
  <si>
    <t>3075.169264</t>
  </si>
  <si>
    <t>3248.332803</t>
  </si>
  <si>
    <t>3430.986156</t>
  </si>
  <si>
    <t>3621.693803</t>
  </si>
  <si>
    <t>3819.249403</t>
  </si>
  <si>
    <t>4022.644155</t>
  </si>
  <si>
    <t>4178.510171</t>
  </si>
  <si>
    <t>2231.919801</t>
  </si>
  <si>
    <t>2208.77732</t>
  </si>
  <si>
    <t>2195.686908</t>
  </si>
  <si>
    <t>2203.075351</t>
  </si>
  <si>
    <t>2238.535459</t>
  </si>
  <si>
    <t>2300.769654</t>
  </si>
  <si>
    <t>2387.685281</t>
  </si>
  <si>
    <t>2496.70603</t>
  </si>
  <si>
    <t>2625.079237</t>
  </si>
  <si>
    <t>2770.115702</t>
  </si>
  <si>
    <t>2929.341394</t>
  </si>
  <si>
    <t>3100.571076</t>
  </si>
  <si>
    <t>3281.926416</t>
  </si>
  <si>
    <t>3471.820992</t>
  </si>
  <si>
    <t>3668.929135</t>
  </si>
  <si>
    <t>3872.149403</t>
  </si>
  <si>
    <t>4080.56871</t>
  </si>
  <si>
    <t>1887.619135</t>
  </si>
  <si>
    <t>1657.137894</t>
  </si>
  <si>
    <t>1433.215266</t>
  </si>
  <si>
    <t>1219.469557</t>
  </si>
  <si>
    <t>1022.30426</t>
  </si>
  <si>
    <t>853.291275</t>
  </si>
  <si>
    <t>732.192598</t>
  </si>
  <si>
    <t>684.913133</t>
  </si>
  <si>
    <t>726.020661</t>
  </si>
  <si>
    <t>842.677874</t>
  </si>
  <si>
    <t>1009.012388</t>
  </si>
  <si>
    <t>1204.618612</t>
  </si>
  <si>
    <t>1417.429363</t>
  </si>
  <si>
    <t>1640.763847</t>
  </si>
  <si>
    <t>1870.857023</t>
  </si>
  <si>
    <t>2105.494241</t>
  </si>
  <si>
    <t>2277.600931</t>
  </si>
  <si>
    <t>2123.708372</t>
  </si>
  <si>
    <t>1941.257582</t>
  </si>
  <si>
    <t>1699.700268</t>
  </si>
  <si>
    <t>1460.986311</t>
  </si>
  <si>
    <t>984.368325</t>
  </si>
  <si>
    <t>1210.157428</t>
  </si>
  <si>
    <t>1443.946329</t>
  </si>
  <si>
    <t>1682.40334</t>
  </si>
  <si>
    <t>1923.793388</t>
  </si>
  <si>
    <t>2138.145458</t>
  </si>
  <si>
    <t>2160.246745</t>
  </si>
  <si>
    <t>2210.580467</t>
  </si>
  <si>
    <t>2287.283542</t>
  </si>
  <si>
    <t>2387.816157</t>
  </si>
  <si>
    <t>2509.315843</t>
  </si>
  <si>
    <t>2648.899017</t>
  </si>
  <si>
    <t>2803.866259</t>
  </si>
  <si>
    <t>2971.811905</t>
  </si>
  <si>
    <t>3150.6612</t>
  </si>
  <si>
    <t>3338.662307</t>
  </si>
  <si>
    <t>3534.355104</t>
  </si>
  <si>
    <t>3736.531279</t>
  </si>
  <si>
    <t>3944.193961</t>
  </si>
  <si>
    <t>4103.04122</t>
  </si>
  <si>
    <t>2146.267924</t>
  </si>
  <si>
    <t>2122.191615</t>
  </si>
  <si>
    <t>2108.563729</t>
  </si>
  <si>
    <t>2116.256364</t>
  </si>
  <si>
    <t>2153.146767</t>
  </si>
  <si>
    <t>2217.778393</t>
  </si>
  <si>
    <t>2307.8217</t>
  </si>
  <si>
    <t>2420.442315</t>
  </si>
  <si>
    <t>2552.653717</t>
  </si>
  <si>
    <t>2701.581204</t>
  </si>
  <si>
    <t>2864.618823</t>
  </si>
  <si>
    <t>3039.496833</t>
  </si>
  <si>
    <t>3224.289224</t>
  </si>
  <si>
    <t>3417.388038</t>
  </si>
  <si>
    <t>3617.463338</t>
  </si>
  <si>
    <t>3823.420066</t>
  </si>
  <si>
    <t>4034.35757</t>
  </si>
  <si>
    <t>1785.526813</t>
  </si>
  <si>
    <t>1539.839602</t>
  </si>
  <si>
    <t>1002.5</t>
  </si>
  <si>
    <t>1356.608731</t>
  </si>
  <si>
    <t>3127.5</t>
  </si>
  <si>
    <t>860.021657</t>
  </si>
  <si>
    <t>1037.355291</t>
  </si>
  <si>
    <t>1278.321556</t>
  </si>
  <si>
    <t>1522.204323</t>
  </si>
  <si>
    <t>1767.796934</t>
  </si>
  <si>
    <t>2249.992444</t>
  </si>
  <si>
    <t>2094.07193</t>
  </si>
  <si>
    <t>1908.790455</t>
  </si>
  <si>
    <t>1662.522481</t>
  </si>
  <si>
    <t>1417.561639</t>
  </si>
  <si>
    <t>918.684385</t>
  </si>
  <si>
    <t>1157.359495</t>
  </si>
  <si>
    <t>1399.993214</t>
  </si>
  <si>
    <t>1644.834642</t>
  </si>
  <si>
    <t>2108.711929</t>
  </si>
  <si>
    <t>2131.118486</t>
  </si>
  <si>
    <t>2182.124194</t>
  </si>
  <si>
    <t>2259.793353</t>
  </si>
  <si>
    <t>2361.496559</t>
  </si>
  <si>
    <t>2484.2838</t>
  </si>
  <si>
    <t>2625.198278</t>
  </si>
  <si>
    <t>2781.486293</t>
  </si>
  <si>
    <t>2950.706017</t>
  </si>
  <si>
    <t>3130.761249</t>
  </si>
  <si>
    <t>3319.889456</t>
  </si>
  <si>
    <t>3516.627077</t>
  </si>
  <si>
    <t>3719.766928</t>
  </si>
  <si>
    <t>3928.315924</t>
  </si>
  <si>
    <t>4087.780235</t>
  </si>
  <si>
    <t>2175.193325</t>
  </si>
  <si>
    <t>2151.440738</t>
  </si>
  <si>
    <t>2137.999298</t>
  </si>
  <si>
    <t>2145.5864</t>
  </si>
  <si>
    <t>2181.980981</t>
  </si>
  <si>
    <t>2245.782937</t>
  </si>
  <si>
    <t>2334.746453</t>
  </si>
  <si>
    <t>2446.127756</t>
  </si>
  <si>
    <t>2577.021731</t>
  </si>
  <si>
    <t>2724.617588</t>
  </si>
  <si>
    <t>2886.354275</t>
  </si>
  <si>
    <t>3059.990359</t>
  </si>
  <si>
    <t>3243.615421</t>
  </si>
  <si>
    <t>3435.628181</t>
  </si>
  <si>
    <t>3634.699575</t>
  </si>
  <si>
    <t>3839.731892</t>
  </si>
  <si>
    <t>4049.819873</t>
  </si>
  <si>
    <t>1820.193946</t>
  </si>
  <si>
    <t>1579.906959</t>
  </si>
  <si>
    <t>1401.922698</t>
  </si>
  <si>
    <t>929.858726</t>
  </si>
  <si>
    <t>1095.949816</t>
  </si>
  <si>
    <t>1326.312934</t>
  </si>
  <si>
    <t>1562.723904</t>
  </si>
  <si>
    <t>2331.837473</t>
  </si>
  <si>
    <t>2181.773877</t>
  </si>
  <si>
    <t>2004.614926</t>
  </si>
  <si>
    <t>1771.716964</t>
  </si>
  <si>
    <t>1544.17648</t>
  </si>
  <si>
    <t>1104.074726</t>
  </si>
  <si>
    <t>1309.381915</t>
  </si>
  <si>
    <t>1528.064462</t>
  </si>
  <si>
    <t>2195.829228</t>
  </si>
  <si>
    <t>2217.355632</t>
  </si>
  <si>
    <t>2266.421408</t>
  </si>
  <si>
    <t>2341.295795</t>
  </si>
  <si>
    <t>2439.603656</t>
  </si>
  <si>
    <t>2558.645345</t>
  </si>
  <si>
    <t>2695.675426</t>
  </si>
  <si>
    <t>2848.098664</t>
  </si>
  <si>
    <t>3013.580263</t>
  </si>
  <si>
    <t>3190.088713</t>
  </si>
  <si>
    <t>3375.894844</t>
  </si>
  <si>
    <t>3569.54703</t>
  </si>
  <si>
    <t>3769.836336</t>
  </si>
  <si>
    <t>3975.759802</t>
  </si>
  <si>
    <t>4133.394156</t>
  </si>
  <si>
    <t>2314.404027</t>
  </si>
  <si>
    <t>2292.094512</t>
  </si>
  <si>
    <t>2279.482617</t>
  </si>
  <si>
    <t>2286.600315</t>
  </si>
  <si>
    <t>2320.784566</t>
  </si>
  <si>
    <t>2380.869799</t>
  </si>
  <si>
    <t>2464.962677</t>
  </si>
  <si>
    <t>2570.708268</t>
  </si>
  <si>
    <t>2695.559497</t>
  </si>
  <si>
    <t>2836.995065</t>
  </si>
  <si>
    <t>2992.664532</t>
  </si>
  <si>
    <t>3160.465314</t>
  </si>
  <si>
    <t>3338.568705</t>
  </si>
  <si>
    <t>3525.413593</t>
  </si>
  <si>
    <t>3719.682917</t>
  </si>
  <si>
    <t>3920.273077</t>
  </si>
  <si>
    <t>4126.262352</t>
  </si>
  <si>
    <t>1984.466175</t>
  </si>
  <si>
    <t>1766.66522</t>
  </si>
  <si>
    <t>1609.468002</t>
  </si>
  <si>
    <t>1220.506964</t>
  </si>
  <si>
    <t>1351.334896</t>
  </si>
  <si>
    <t>1544.055051</t>
  </si>
  <si>
    <t>2512.462139</t>
  </si>
  <si>
    <t>2373.844403</t>
  </si>
  <si>
    <t>2212.12138</t>
  </si>
  <si>
    <t>2003.492201</t>
  </si>
  <si>
    <t>1609.18644</t>
  </si>
  <si>
    <t>2386.768946</t>
  </si>
  <si>
    <t>2406.588041</t>
  </si>
  <si>
    <t>2451.869899</t>
  </si>
  <si>
    <t>2521.242947</t>
  </si>
  <si>
    <t>2612.788931</t>
  </si>
  <si>
    <t>2724.273481</t>
  </si>
  <si>
    <t>2853.360475</t>
  </si>
  <si>
    <t>2997.776843</t>
  </si>
  <si>
    <t>3155.418514</t>
  </si>
  <si>
    <t>3324.404608</t>
  </si>
  <si>
    <t>3503.093776</t>
  </si>
  <si>
    <t>3690.076693</t>
  </si>
  <si>
    <t>3884.155764</t>
  </si>
  <si>
    <t>4084.319527</t>
  </si>
  <si>
    <t>14.38.25</t>
  </si>
  <si>
    <t>14.38.53</t>
  </si>
  <si>
    <t>14.39.19</t>
  </si>
  <si>
    <t>14.39.49</t>
  </si>
  <si>
    <t>14.40.13</t>
  </si>
  <si>
    <t>14.41.01</t>
  </si>
  <si>
    <t>14.41.25</t>
  </si>
  <si>
    <t>14.41.47</t>
  </si>
  <si>
    <t>14.42.13</t>
  </si>
  <si>
    <t>14.42.37</t>
  </si>
  <si>
    <t>14.43.01</t>
  </si>
  <si>
    <t>14.43.49</t>
  </si>
  <si>
    <t>14.44.20</t>
  </si>
  <si>
    <t>14.44.52</t>
  </si>
  <si>
    <t>14.45.23</t>
  </si>
  <si>
    <t>14.45.52</t>
  </si>
  <si>
    <t>14.46.25</t>
  </si>
  <si>
    <t>14.46.57</t>
  </si>
  <si>
    <t>14.47.32</t>
  </si>
  <si>
    <t>14.48.09</t>
  </si>
  <si>
    <t>14.48.46</t>
  </si>
  <si>
    <t>14.49.14</t>
  </si>
  <si>
    <t>14.50.37</t>
  </si>
  <si>
    <t>servis</t>
  </si>
  <si>
    <t>14.51.10</t>
  </si>
  <si>
    <t>14.51.43</t>
  </si>
  <si>
    <t>14.52.19</t>
  </si>
  <si>
    <t>14.53.11</t>
  </si>
  <si>
    <t>14.56.31</t>
  </si>
  <si>
    <t>14.57.00</t>
  </si>
  <si>
    <t>14.57.27</t>
  </si>
  <si>
    <t>14.58.01</t>
  </si>
  <si>
    <t>14.58.59</t>
  </si>
  <si>
    <t>14.59.30</t>
  </si>
  <si>
    <t>15.00.35</t>
  </si>
  <si>
    <t>15.01.05</t>
  </si>
  <si>
    <t>15.01.35</t>
  </si>
  <si>
    <t>15.02.08</t>
  </si>
  <si>
    <t>15.02.42</t>
  </si>
  <si>
    <t>15.03.13</t>
  </si>
  <si>
    <t>stop tlacitko</t>
  </si>
  <si>
    <t>15.05.27</t>
  </si>
  <si>
    <t>15.06.05</t>
  </si>
  <si>
    <t>x</t>
  </si>
  <si>
    <t>porucha</t>
  </si>
  <si>
    <t>15.15.35</t>
  </si>
  <si>
    <t>15.16.05</t>
  </si>
  <si>
    <t>15.16.38</t>
  </si>
  <si>
    <t>15.17.20</t>
  </si>
  <si>
    <t>15.17.48</t>
  </si>
  <si>
    <t>15.18.16</t>
  </si>
  <si>
    <t>15.18.42</t>
  </si>
  <si>
    <t>15.19.09</t>
  </si>
  <si>
    <t>15.19.35</t>
  </si>
  <si>
    <t>15.32.09</t>
  </si>
  <si>
    <t>15.37.05</t>
  </si>
  <si>
    <t>15.37.51</t>
  </si>
  <si>
    <t>15.39.29</t>
  </si>
  <si>
    <t>15.40.02</t>
  </si>
  <si>
    <t>15.40.47</t>
  </si>
  <si>
    <t>15.41.13</t>
  </si>
  <si>
    <t>15.41.43</t>
  </si>
  <si>
    <t>15.42.14</t>
  </si>
  <si>
    <t>15.42.49</t>
  </si>
  <si>
    <t>15.43.41</t>
  </si>
  <si>
    <t>15.44.18</t>
  </si>
  <si>
    <t>15.44.59</t>
  </si>
  <si>
    <t>15.45.37</t>
  </si>
  <si>
    <t>15.46.13</t>
  </si>
  <si>
    <t>15.46.47</t>
  </si>
  <si>
    <t>15.47.21</t>
  </si>
  <si>
    <t>15.47.58</t>
  </si>
  <si>
    <t>15.48.36</t>
  </si>
  <si>
    <t>15.49.13</t>
  </si>
  <si>
    <t>15.49.50</t>
  </si>
  <si>
    <t>15.50.31</t>
  </si>
  <si>
    <t>15.51.13</t>
  </si>
  <si>
    <t>15.52.02</t>
  </si>
  <si>
    <t>15.52.44</t>
  </si>
  <si>
    <t>15.53.35</t>
  </si>
  <si>
    <t>Zasobovani</t>
  </si>
  <si>
    <t>16.18.49</t>
  </si>
  <si>
    <t>16.19.23</t>
  </si>
  <si>
    <t>16.19.54</t>
  </si>
  <si>
    <t>16.20.26</t>
  </si>
  <si>
    <t>16.20.57</t>
  </si>
  <si>
    <t>16.21.27</t>
  </si>
  <si>
    <t>16.22.01</t>
  </si>
  <si>
    <t>16.22.35</t>
  </si>
  <si>
    <t>16.23.07</t>
  </si>
  <si>
    <t>16.23.42</t>
  </si>
  <si>
    <t>16.24.17</t>
  </si>
  <si>
    <t>16.24.51</t>
  </si>
  <si>
    <t>16.25.32</t>
  </si>
  <si>
    <t>16.26.10</t>
  </si>
  <si>
    <t>16.26.50</t>
  </si>
  <si>
    <t>16.27.27</t>
  </si>
  <si>
    <t>16.28.01</t>
  </si>
  <si>
    <t>16.29.57</t>
  </si>
  <si>
    <t>service</t>
  </si>
  <si>
    <t>16.31.49</t>
  </si>
  <si>
    <t>16.41.27</t>
  </si>
  <si>
    <t>16.32.25</t>
  </si>
  <si>
    <t>16.32.56</t>
  </si>
  <si>
    <t>16.33.43</t>
  </si>
  <si>
    <t>16.34.07</t>
  </si>
  <si>
    <t>16.34.34</t>
  </si>
  <si>
    <t>16.35.02</t>
  </si>
  <si>
    <t>16.35.29</t>
  </si>
  <si>
    <t>16.36.33</t>
  </si>
  <si>
    <t>16.37.16</t>
  </si>
  <si>
    <t>16.38.10</t>
  </si>
  <si>
    <t>16.38.43</t>
  </si>
  <si>
    <t>16.39.15</t>
  </si>
  <si>
    <t>16.39.56</t>
  </si>
  <si>
    <t>16.40.33</t>
  </si>
  <si>
    <t>16.40.59</t>
  </si>
  <si>
    <t>16.42.11</t>
  </si>
  <si>
    <t>16.42.49</t>
  </si>
  <si>
    <t>16.43.25</t>
  </si>
  <si>
    <t>16.43.58</t>
  </si>
  <si>
    <t>16.44.32</t>
  </si>
  <si>
    <t>16.45.05</t>
  </si>
  <si>
    <t>16.45.38</t>
  </si>
  <si>
    <t>16.46.17</t>
  </si>
  <si>
    <t>16.46.52</t>
  </si>
  <si>
    <t>16.47.27</t>
  </si>
  <si>
    <t>16.48.03</t>
  </si>
  <si>
    <t>16.48.39</t>
  </si>
  <si>
    <t>16.49.14</t>
  </si>
  <si>
    <t>16.49.53</t>
  </si>
  <si>
    <t>16.50.29</t>
  </si>
  <si>
    <t>16.51.18</t>
  </si>
  <si>
    <t>16.52.53</t>
  </si>
  <si>
    <t>16.53.25</t>
  </si>
  <si>
    <t>16.53.55</t>
  </si>
  <si>
    <t>16.54.27</t>
  </si>
  <si>
    <t>16.55.01</t>
  </si>
  <si>
    <t>16.55.35</t>
  </si>
  <si>
    <t>16.56.08</t>
  </si>
  <si>
    <t>16.56.43</t>
  </si>
  <si>
    <t>16.57.37</t>
  </si>
  <si>
    <t>16.58.10</t>
  </si>
  <si>
    <t>16.58.47</t>
  </si>
  <si>
    <t>16.59.23</t>
  </si>
  <si>
    <t>16.59.59</t>
  </si>
  <si>
    <t>17.00.46</t>
  </si>
  <si>
    <t>17.01.24</t>
  </si>
  <si>
    <t>17.02.01</t>
  </si>
  <si>
    <t>17.02.40</t>
  </si>
  <si>
    <t>17.03.33</t>
  </si>
  <si>
    <t>17.04.55</t>
  </si>
  <si>
    <t>17.05.39</t>
  </si>
  <si>
    <t>17.06.05</t>
  </si>
  <si>
    <t>Column1</t>
  </si>
  <si>
    <t>Column2</t>
  </si>
  <si>
    <t>total_time</t>
  </si>
  <si>
    <t>13.52.06</t>
  </si>
  <si>
    <t>13.52.50</t>
  </si>
  <si>
    <t>13.53.25</t>
  </si>
  <si>
    <t>13.55.50</t>
  </si>
  <si>
    <t>13.56.26</t>
  </si>
  <si>
    <t>13.57.00</t>
  </si>
  <si>
    <t>13.58.36</t>
  </si>
  <si>
    <t>defekt</t>
  </si>
  <si>
    <t>13.59.10</t>
  </si>
  <si>
    <t>13.59.43</t>
  </si>
  <si>
    <t>14.00.24</t>
  </si>
  <si>
    <t>14.01.00</t>
  </si>
  <si>
    <t>14.01.42</t>
  </si>
  <si>
    <t>14.02.14</t>
  </si>
  <si>
    <t>14.02.49</t>
  </si>
  <si>
    <t>14.03.21</t>
  </si>
  <si>
    <t>14.04.08</t>
  </si>
  <si>
    <t>14.04.40</t>
  </si>
  <si>
    <t>14.05.52</t>
  </si>
  <si>
    <t>14.06.56</t>
  </si>
  <si>
    <t>14.08.14</t>
  </si>
  <si>
    <t>14.09.12</t>
  </si>
  <si>
    <t>14.11.20</t>
  </si>
  <si>
    <t>13.31.11</t>
  </si>
  <si>
    <t>13.31.53</t>
  </si>
  <si>
    <t>13.32.39</t>
  </si>
  <si>
    <t>13.33.13</t>
  </si>
  <si>
    <t>13.34.01</t>
  </si>
  <si>
    <t>13.34.45</t>
  </si>
  <si>
    <t>13.35.27</t>
  </si>
  <si>
    <t>13.36.12</t>
  </si>
  <si>
    <t>13.36.56</t>
  </si>
  <si>
    <t>13.37.41</t>
  </si>
  <si>
    <t>13.38.27</t>
  </si>
  <si>
    <t>13.39.13</t>
  </si>
  <si>
    <t>13.43.23</t>
  </si>
  <si>
    <t>big</t>
  </si>
  <si>
    <t>15.50.25</t>
  </si>
  <si>
    <t>13.51.23</t>
  </si>
  <si>
    <t>13.52.16</t>
  </si>
  <si>
    <t>13.53.03</t>
  </si>
  <si>
    <t>Layer</t>
  </si>
  <si>
    <t>rotation</t>
  </si>
  <si>
    <t>13.53.45</t>
  </si>
  <si>
    <t>13.54.51</t>
  </si>
  <si>
    <t>13.57.19</t>
  </si>
  <si>
    <t>13.57.56</t>
  </si>
  <si>
    <t>13.58.33</t>
  </si>
  <si>
    <t>13.59.16</t>
  </si>
  <si>
    <t>13.59.58</t>
  </si>
  <si>
    <t>14.00.39</t>
  </si>
  <si>
    <t>14.01.24</t>
  </si>
  <si>
    <t>14.02.07</t>
  </si>
  <si>
    <t>14.02.56</t>
  </si>
  <si>
    <t>14.03.42</t>
  </si>
  <si>
    <t>14.04.27</t>
  </si>
  <si>
    <t>14.05.13</t>
  </si>
  <si>
    <t>14.06.01</t>
  </si>
  <si>
    <t>14.06.54</t>
  </si>
  <si>
    <t>14.07.40</t>
  </si>
  <si>
    <t>14.08.30</t>
  </si>
  <si>
    <t>14.09.20</t>
  </si>
  <si>
    <t>14.10.29</t>
  </si>
  <si>
    <t>14.12.39</t>
  </si>
  <si>
    <t>14.13.18</t>
  </si>
  <si>
    <t>14.13.58</t>
  </si>
  <si>
    <t>14.14.41</t>
  </si>
  <si>
    <t>14.15.20</t>
  </si>
  <si>
    <t>14.15.58</t>
  </si>
  <si>
    <t>14.16.37</t>
  </si>
  <si>
    <t>14.17.15</t>
  </si>
  <si>
    <t>14.17.56</t>
  </si>
  <si>
    <t>14.18.33</t>
  </si>
  <si>
    <t>14.19.16</t>
  </si>
  <si>
    <t>14.19.50</t>
  </si>
  <si>
    <t>14.20.27</t>
  </si>
  <si>
    <t>14.21.02</t>
  </si>
  <si>
    <t>14.21.47</t>
  </si>
  <si>
    <t>14.22.23</t>
  </si>
  <si>
    <t>14.23.00</t>
  </si>
  <si>
    <t>14.23.36</t>
  </si>
  <si>
    <t>15.08.15</t>
  </si>
  <si>
    <t>15.09.10</t>
  </si>
  <si>
    <t>15.09.46</t>
  </si>
  <si>
    <t>15.10.05</t>
  </si>
  <si>
    <t>15.10.42</t>
  </si>
  <si>
    <t>15.11.20</t>
  </si>
  <si>
    <t>15.11.58</t>
  </si>
  <si>
    <t>15.12.31</t>
  </si>
  <si>
    <t>15.13.03</t>
  </si>
  <si>
    <t>15.13.59</t>
  </si>
  <si>
    <t>15.15.02</t>
  </si>
  <si>
    <t>15.16.03</t>
  </si>
  <si>
    <t>15.16.35</t>
  </si>
  <si>
    <t>15.17.05</t>
  </si>
  <si>
    <t>15.17.34</t>
  </si>
  <si>
    <t>15.18.03</t>
  </si>
  <si>
    <t>15.18.31</t>
  </si>
  <si>
    <t>15.18.57</t>
  </si>
  <si>
    <t>15.19.32</t>
  </si>
  <si>
    <t>15.20.13</t>
  </si>
  <si>
    <t>15.21.37</t>
  </si>
  <si>
    <t>15.22.17</t>
  </si>
  <si>
    <t>15.23.13</t>
  </si>
  <si>
    <t>15.23.55</t>
  </si>
  <si>
    <t>15.24.32</t>
  </si>
  <si>
    <t>15.25.09</t>
  </si>
  <si>
    <t>15.25.50</t>
  </si>
  <si>
    <t>15.26.30</t>
  </si>
  <si>
    <t>15.27.09</t>
  </si>
  <si>
    <t>15.27.51</t>
  </si>
  <si>
    <t>15.28.35</t>
  </si>
  <si>
    <t>15.29.12</t>
  </si>
  <si>
    <t>15.29.52</t>
  </si>
  <si>
    <t>15.30.31</t>
  </si>
  <si>
    <t>15.31.10</t>
  </si>
  <si>
    <t>15.32.10</t>
  </si>
  <si>
    <t>15.34.44</t>
  </si>
  <si>
    <t>15.35.52</t>
  </si>
  <si>
    <t>15.36.45</t>
  </si>
  <si>
    <t>15.37.20</t>
  </si>
  <si>
    <t>15.37.54</t>
  </si>
  <si>
    <t>15.38.27</t>
  </si>
  <si>
    <t>15.39.05</t>
  </si>
  <si>
    <t>15.39.40</t>
  </si>
  <si>
    <t>15.40.17</t>
  </si>
  <si>
    <t>15.40.54</t>
  </si>
  <si>
    <t>15.41.31</t>
  </si>
  <si>
    <t>15.42.08</t>
  </si>
  <si>
    <t>15.42.48</t>
  </si>
  <si>
    <t>15.43.40</t>
  </si>
  <si>
    <t>15.44.35</t>
  </si>
  <si>
    <t>15.45.16</t>
  </si>
  <si>
    <t>15.45.56</t>
  </si>
  <si>
    <t>15.47.03</t>
  </si>
  <si>
    <t>15.49.49</t>
  </si>
  <si>
    <t>15.50.23</t>
  </si>
  <si>
    <t>15.51.05</t>
  </si>
  <si>
    <t>15.51.39</t>
  </si>
  <si>
    <t>15.52.11</t>
  </si>
  <si>
    <t>15.53.16</t>
  </si>
  <si>
    <t>15.53.47</t>
  </si>
  <si>
    <t>15.54.19</t>
  </si>
  <si>
    <t>15.54.49</t>
  </si>
  <si>
    <t>15.55.18</t>
  </si>
  <si>
    <t>15.55.49</t>
  </si>
  <si>
    <t>15.56.19</t>
  </si>
  <si>
    <t>15.56.55</t>
  </si>
  <si>
    <t>15.57.27</t>
  </si>
  <si>
    <t>15.58.01</t>
  </si>
  <si>
    <t>id</t>
  </si>
  <si>
    <t>defe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</si>
</sst>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000000"/>
      <name val="Consolas"/>
      <family val="3"/>
      <charset val="238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1" fontId="0" fillId="3" borderId="0" xfId="0" applyNumberFormat="1" applyFill="1" applyAlignment="1">
      <alignment horizont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/>
    <xf numFmtId="49" fontId="0" fillId="4" borderId="0" xfId="0" applyNumberFormat="1" applyFill="1"/>
    <xf numFmtId="164" fontId="0" fillId="0" borderId="0" xfId="0" applyNumberFormat="1" applyAlignment="1">
      <alignment horizontal="center"/>
    </xf>
    <xf numFmtId="164" fontId="0" fillId="0" borderId="0" xfId="0" applyNumberFormat="1"/>
    <xf numFmtId="49" fontId="1" fillId="2" borderId="1" xfId="1" applyNumberFormat="1" applyAlignment="1">
      <alignment horizontal="center"/>
    </xf>
    <xf numFmtId="21" fontId="0" fillId="0" borderId="0" xfId="0" applyNumberFormat="1"/>
    <xf numFmtId="0" fontId="0" fillId="0" borderId="0" xfId="0" applyNumberFormat="1"/>
    <xf numFmtId="164" fontId="0" fillId="0" borderId="0" xfId="0" applyNumberFormat="1" applyFill="1" applyAlignment="1">
      <alignment horizontal="center"/>
    </xf>
  </cellXfs>
  <cellStyles count="2">
    <cellStyle name="Input" xfId="1" builtinId="20"/>
    <cellStyle name="Normal" xfId="0" builtinId="0"/>
  </cellStyles>
  <dxfs count="21">
    <dxf>
      <numFmt numFmtId="164" formatCode="[$-F400]h:mm:ss\ AM/PM"/>
    </dxf>
    <dxf>
      <numFmt numFmtId="164" formatCode="[$-F400]h:mm:ss\ AM/PM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fill>
        <patternFill patternType="none">
          <fgColor indexed="64"/>
          <bgColor auto="1"/>
        </patternFill>
      </fill>
    </dxf>
    <dxf>
      <numFmt numFmtId="164" formatCode="[$-F400]h:mm:ss\ AM/PM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8A8B3-1777-451E-9DD2-3925EF845F93}" name="Table1" displayName="Table1" ref="A1:F138" totalsRowShown="0" headerRowDxfId="20">
  <autoFilter ref="A1:F138" xr:uid="{0FE8A8B3-1777-451E-9DD2-3925EF845F93}"/>
  <tableColumns count="6">
    <tableColumn id="1" xr3:uid="{D3450B9D-F551-44B8-AC50-BBA3850A0DE4}" name="ID"/>
    <tableColumn id="2" xr3:uid="{D9C7F4AD-DC6E-4935-8253-DFD5E30286BD}" name="TYPE"/>
    <tableColumn id="3" xr3:uid="{3FE2BED5-8A29-469E-8069-9A061B227A31}" name="START"/>
    <tableColumn id="4" xr3:uid="{3E93ED9B-E983-4199-A859-D075E9811499}" name="CAL"/>
    <tableColumn id="5" xr3:uid="{FE67E1AB-A575-42D9-850E-4EF9321615C1}" name="WALL"/>
    <tableColumn id="6" xr3:uid="{47523971-82BD-43C6-BE99-CB71823B0629}" name="END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D230E1-D07D-41BD-A6A7-FBF2878898FC}" name="Table13" displayName="Table13" ref="A1:E143" totalsRowShown="0" headerRowDxfId="19">
  <autoFilter ref="A1:E143" xr:uid="{F1D230E1-D07D-41BD-A6A7-FBF2878898FC}"/>
  <tableColumns count="5">
    <tableColumn id="1" xr3:uid="{86A5D0A2-99B0-4218-986F-A80587E74708}" name="ID"/>
    <tableColumn id="2" xr3:uid="{C880F92F-72B3-4CE7-B46D-01FC8C682A3D}" name="DIST" dataDxfId="18"/>
    <tableColumn id="3" xr3:uid="{8CD3FE9D-5C80-4F74-8786-170C7C212D83}" name="START" dataDxfId="17"/>
    <tableColumn id="6" xr3:uid="{E1B6D3DA-7DA2-4F60-AF1A-0D005A120680}" name="END" dataDxfId="16"/>
    <tableColumn id="4" xr3:uid="{B6D7ACA8-CEA5-453F-AF41-B98EC9507F1D}" name="Sloupec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A53F5B-A036-4D73-8D7F-52D1A165686E}" name="Table134" displayName="Table134" ref="A1:D137" totalsRowShown="0" headerRowDxfId="15">
  <autoFilter ref="A1:D137" xr:uid="{F1D230E1-D07D-41BD-A6A7-FBF2878898FC}"/>
  <tableColumns count="4">
    <tableColumn id="1" xr3:uid="{255444B5-CDE9-4591-9891-BEB475C1EF49}" name="ID"/>
    <tableColumn id="2" xr3:uid="{93AFBB69-C661-4251-901F-D5A294A063E9}" name="DIST" dataDxfId="14"/>
    <tableColumn id="3" xr3:uid="{2919CF1D-5CB4-4942-B4D7-BC371FA66FA9}" name="START" dataDxfId="13"/>
    <tableColumn id="6" xr3:uid="{CE226660-4DEE-45C1-AC71-D35CB8905397}" name="END" dataDxfId="1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F975F-7827-4BC9-8324-D9EF80770E22}" name="Table1345" displayName="Table1345" ref="A1:G143" totalsRowCount="1" headerRowDxfId="9">
  <autoFilter ref="A1:G142" xr:uid="{F1D230E1-D07D-41BD-A6A7-FBF2878898FC}"/>
  <sortState xmlns:xlrd2="http://schemas.microsoft.com/office/spreadsheetml/2017/richdata2" ref="A2:G142">
    <sortCondition ref="A1:A142"/>
  </sortState>
  <tableColumns count="7">
    <tableColumn id="1" xr3:uid="{C12CAE05-329F-4D58-B522-50E97FBAB202}" name="ID"/>
    <tableColumn id="2" xr3:uid="{DD7814AB-4766-4AFE-B555-E2D97D98FCDA}" name="DIST" dataDxfId="8" totalsRowDxfId="2"/>
    <tableColumn id="3" xr3:uid="{45C59447-9F00-40DA-B4B2-AA9819BC95C8}" name="START" dataDxfId="7" totalsRowDxfId="1"/>
    <tableColumn id="6" xr3:uid="{4D619339-0B7E-41AB-A3DC-0E3543FFBF46}" name="END" dataDxfId="6" totalsRowDxfId="0"/>
    <tableColumn id="4" xr3:uid="{7446443A-2107-4FEA-97F6-72972B445EB9}" name="Column1" dataDxfId="5">
      <calculatedColumnFormula>Table1345[[#This Row],[START]]*86400</calculatedColumnFormula>
    </tableColumn>
    <tableColumn id="5" xr3:uid="{2047CC66-33A9-4EB9-8A0D-690B14E38B1A}" name="Column2" dataDxfId="4">
      <calculatedColumnFormula>Table1345[[#This Row],[END]]*86400</calculatedColumnFormula>
    </tableColumn>
    <tableColumn id="7" xr3:uid="{3896E95D-C156-4B91-9DB1-811DCA6C2DB3}" name="total_time" totalsRowFunction="sum" dataDxfId="3">
      <calculatedColumnFormula>Table1345[[#This Row],[Column2]]-Table1345[[#This Row],[Column1]]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BED7AD-0788-4DE7-97F3-7A0EFF6E4EE7}" name="Table16" displayName="Table16" ref="A1:D138" totalsRowShown="0" headerRowDxfId="11">
  <autoFilter ref="A1:D138" xr:uid="{0FE8A8B3-1777-451E-9DD2-3925EF845F93}"/>
  <tableColumns count="4">
    <tableColumn id="1" xr3:uid="{A5BE10AD-30E4-4361-8A7B-F81BEF8D66BD}" name="ID"/>
    <tableColumn id="2" xr3:uid="{FD43ECE0-BF36-48AF-BB5D-18016F4736A3}" name="TYPE"/>
    <tableColumn id="3" xr3:uid="{FB188B3B-28D3-4E45-B52D-1F187CAC9677}" name="START"/>
    <tableColumn id="6" xr3:uid="{E313246E-8120-42A5-B59F-CCC0DF506045}" name="END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836EDF-C957-4157-AE35-20CD1C0422BF}" name="Table167" displayName="Table167" ref="A1:D138" totalsRowShown="0" headerRowDxfId="10">
  <autoFilter ref="A1:D138" xr:uid="{0FE8A8B3-1777-451E-9DD2-3925EF845F93}"/>
  <tableColumns count="4">
    <tableColumn id="1" xr3:uid="{8951B63C-09AE-4106-BFDB-81DCA061CBD1}" name="ID"/>
    <tableColumn id="2" xr3:uid="{E18266F8-77B5-43AE-A07C-5AB205315BFA}" name="TYPE"/>
    <tableColumn id="3" xr3:uid="{F72CBF86-B243-42A8-A2CF-3A5C6504DD2C}" name="START"/>
    <tableColumn id="6" xr3:uid="{0D97A8AC-4038-484A-9184-F65B45A2703D}" name="EN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5631-884D-4065-A07B-587AF86F9E67}">
  <dimension ref="A1:F138"/>
  <sheetViews>
    <sheetView zoomScale="160" zoomScaleNormal="160" workbookViewId="0">
      <selection activeCell="H3" sqref="H3"/>
    </sheetView>
  </sheetViews>
  <sheetFormatPr defaultRowHeight="14.5" x14ac:dyDescent="0.35"/>
  <cols>
    <col min="1" max="6" width="11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3">
        <v>0.57798611111111109</v>
      </c>
      <c r="D2" s="3">
        <v>0.57805555555555554</v>
      </c>
      <c r="E2" s="3">
        <v>0.57826388888888891</v>
      </c>
      <c r="F2" s="3">
        <v>0.57844907407407409</v>
      </c>
    </row>
    <row r="3" spans="1:6" x14ac:dyDescent="0.35">
      <c r="A3" s="2">
        <v>2</v>
      </c>
      <c r="B3" s="2" t="s">
        <v>7</v>
      </c>
      <c r="C3" s="3">
        <v>0.57844907407407409</v>
      </c>
      <c r="D3" s="3">
        <v>0.57849537037037035</v>
      </c>
      <c r="E3" s="3">
        <v>0.57868055555555553</v>
      </c>
      <c r="F3" s="3">
        <v>0.5788888888888889</v>
      </c>
    </row>
    <row r="4" spans="1:6" x14ac:dyDescent="0.35">
      <c r="A4" s="2">
        <v>3</v>
      </c>
      <c r="B4" s="2" t="s">
        <v>8</v>
      </c>
      <c r="C4" s="3">
        <v>0.5788888888888889</v>
      </c>
      <c r="D4" s="3">
        <v>0.5800925925925926</v>
      </c>
      <c r="E4" s="3">
        <v>0.58037037037037043</v>
      </c>
      <c r="F4" s="3">
        <v>0.5805555555555556</v>
      </c>
    </row>
    <row r="5" spans="1:6" x14ac:dyDescent="0.35">
      <c r="A5" s="2">
        <v>4</v>
      </c>
      <c r="B5" s="2" t="s">
        <v>8</v>
      </c>
      <c r="C5" s="3">
        <v>0.5805555555555556</v>
      </c>
      <c r="D5" s="3">
        <v>0.58062499999999995</v>
      </c>
      <c r="E5" s="3">
        <v>0.58078703703703705</v>
      </c>
      <c r="F5" s="3">
        <v>0.58097222222222222</v>
      </c>
    </row>
    <row r="6" spans="1:6" x14ac:dyDescent="0.35">
      <c r="A6" s="2">
        <v>5</v>
      </c>
      <c r="B6" s="2" t="s">
        <v>8</v>
      </c>
      <c r="C6" s="3">
        <v>0.58097222222222222</v>
      </c>
      <c r="D6" s="3">
        <v>0.58101851851851849</v>
      </c>
      <c r="E6" s="3">
        <v>0.58118055555555559</v>
      </c>
      <c r="F6" s="3">
        <v>0.58206018518518521</v>
      </c>
    </row>
    <row r="7" spans="1:6" x14ac:dyDescent="0.35">
      <c r="A7" s="2">
        <v>6</v>
      </c>
      <c r="B7" s="2" t="s">
        <v>8</v>
      </c>
      <c r="C7" s="3">
        <v>0.58206018518518521</v>
      </c>
      <c r="D7" s="3">
        <v>0.58212962962962966</v>
      </c>
      <c r="E7" s="3">
        <v>0.58229166666666665</v>
      </c>
      <c r="F7" s="3">
        <v>0.58247685185185183</v>
      </c>
    </row>
    <row r="8" spans="1:6" x14ac:dyDescent="0.35">
      <c r="A8" s="2">
        <v>7</v>
      </c>
      <c r="B8" s="2" t="s">
        <v>8</v>
      </c>
      <c r="C8" s="3">
        <v>0.58247685185185183</v>
      </c>
      <c r="D8" s="3">
        <v>0.5825231481481481</v>
      </c>
      <c r="E8" s="3">
        <v>0.58268518518518519</v>
      </c>
      <c r="F8" s="3">
        <v>0.58284722222222218</v>
      </c>
    </row>
    <row r="9" spans="1:6" x14ac:dyDescent="0.35">
      <c r="A9" s="2">
        <v>8</v>
      </c>
      <c r="B9" s="2" t="s">
        <v>8</v>
      </c>
      <c r="C9" s="3">
        <v>0.58284722222222218</v>
      </c>
      <c r="D9" s="3">
        <v>0.58291666666666664</v>
      </c>
      <c r="E9" s="3">
        <v>0.58307870370370374</v>
      </c>
      <c r="F9" s="3">
        <v>0.5837268518518518</v>
      </c>
    </row>
    <row r="10" spans="1:6" x14ac:dyDescent="0.35">
      <c r="A10" s="2">
        <v>9</v>
      </c>
      <c r="B10" s="2" t="s">
        <v>8</v>
      </c>
      <c r="C10" s="3">
        <v>0.5837268518518518</v>
      </c>
      <c r="D10" s="3">
        <v>0.58381944444444445</v>
      </c>
      <c r="E10" s="3">
        <v>0.58395833333333336</v>
      </c>
      <c r="F10" s="3">
        <v>0.58423611111111107</v>
      </c>
    </row>
    <row r="11" spans="1:6" x14ac:dyDescent="0.35">
      <c r="A11" s="2">
        <v>10</v>
      </c>
      <c r="B11" s="2" t="s">
        <v>8</v>
      </c>
      <c r="C11" s="3">
        <v>0.58423611111111107</v>
      </c>
      <c r="D11" s="3">
        <v>0.58430555555555552</v>
      </c>
      <c r="E11" s="3">
        <v>0.58446759259259262</v>
      </c>
      <c r="F11" s="3">
        <v>0.58462962962962961</v>
      </c>
    </row>
    <row r="12" spans="1:6" x14ac:dyDescent="0.35">
      <c r="A12" s="2">
        <v>11</v>
      </c>
      <c r="B12" s="2" t="s">
        <v>8</v>
      </c>
      <c r="C12" s="3">
        <v>0.58462962962962961</v>
      </c>
      <c r="D12" s="3">
        <v>0.58469907407407407</v>
      </c>
      <c r="E12" s="3">
        <v>0.58483796296296298</v>
      </c>
      <c r="F12" s="3">
        <v>0.58499999999999996</v>
      </c>
    </row>
    <row r="13" spans="1:6" x14ac:dyDescent="0.35">
      <c r="A13" s="2">
        <v>12</v>
      </c>
      <c r="B13" s="2" t="s">
        <v>8</v>
      </c>
      <c r="C13" s="3">
        <v>0.58499999999999996</v>
      </c>
      <c r="D13" s="3">
        <v>0.58509259259259261</v>
      </c>
      <c r="E13" s="3">
        <v>0.58523148148148152</v>
      </c>
      <c r="F13" s="3">
        <v>0.58539351851851851</v>
      </c>
    </row>
    <row r="14" spans="1:6" x14ac:dyDescent="0.35">
      <c r="A14" s="2">
        <v>13</v>
      </c>
      <c r="B14" s="2" t="s">
        <v>8</v>
      </c>
      <c r="C14" s="3">
        <v>0.58539351851851851</v>
      </c>
      <c r="D14" s="3">
        <v>0.58548611111111115</v>
      </c>
      <c r="E14" s="3">
        <v>0.58562499999999995</v>
      </c>
      <c r="F14" s="3">
        <v>0.58592592592592596</v>
      </c>
    </row>
    <row r="15" spans="1:6" x14ac:dyDescent="0.35">
      <c r="A15" s="2">
        <v>14</v>
      </c>
      <c r="B15" s="2" t="s">
        <v>8</v>
      </c>
      <c r="C15" s="3">
        <v>0.58592592592592596</v>
      </c>
      <c r="D15" s="3">
        <v>0.58601851851851849</v>
      </c>
      <c r="E15" s="3">
        <v>0.5861574074074074</v>
      </c>
      <c r="F15" s="3">
        <v>0.58631944444444439</v>
      </c>
    </row>
    <row r="16" spans="1:6" x14ac:dyDescent="0.35">
      <c r="A16" s="2">
        <v>15</v>
      </c>
      <c r="B16" s="2" t="s">
        <v>8</v>
      </c>
      <c r="C16" s="3">
        <v>0.58631944444444439</v>
      </c>
      <c r="D16" s="3">
        <v>0.58638888888888885</v>
      </c>
      <c r="E16" s="3">
        <v>0.58650462962962968</v>
      </c>
      <c r="F16" s="3">
        <v>0.58706018518518521</v>
      </c>
    </row>
    <row r="17" spans="1:6" x14ac:dyDescent="0.35">
      <c r="A17" s="2">
        <v>16</v>
      </c>
      <c r="B17" s="2" t="s">
        <v>8</v>
      </c>
      <c r="C17" s="3">
        <v>0.58706018518518521</v>
      </c>
      <c r="D17" s="3">
        <v>0.58717592592592593</v>
      </c>
      <c r="E17" s="3">
        <v>0.58733796296296292</v>
      </c>
      <c r="F17" s="3">
        <v>0.58780092592592592</v>
      </c>
    </row>
    <row r="18" spans="1:6" x14ac:dyDescent="0.35">
      <c r="A18" s="2">
        <v>17</v>
      </c>
      <c r="B18" s="2" t="s">
        <v>8</v>
      </c>
      <c r="C18" s="3">
        <v>0.58780092592592592</v>
      </c>
      <c r="D18" s="3">
        <v>0.58791666666666664</v>
      </c>
      <c r="E18" s="3">
        <v>0.58807870370370374</v>
      </c>
      <c r="F18" s="3">
        <v>0.58865740740740746</v>
      </c>
    </row>
    <row r="19" spans="1:6" x14ac:dyDescent="0.35">
      <c r="A19" s="2">
        <v>18</v>
      </c>
      <c r="B19" s="2" t="s">
        <v>8</v>
      </c>
      <c r="C19" s="3">
        <v>0.58865740740740746</v>
      </c>
      <c r="D19" s="3">
        <v>0.58879629629629626</v>
      </c>
      <c r="E19" s="3">
        <v>0.58898148148148144</v>
      </c>
      <c r="F19" s="3">
        <v>0.58944444444444444</v>
      </c>
    </row>
    <row r="20" spans="1:6" x14ac:dyDescent="0.35">
      <c r="A20" s="2">
        <v>19</v>
      </c>
      <c r="B20" s="2" t="s">
        <v>8</v>
      </c>
      <c r="C20" s="3">
        <v>0.58944444444444444</v>
      </c>
      <c r="D20" s="3">
        <v>0.58956018518518516</v>
      </c>
      <c r="E20" s="3">
        <v>0.5896527777777778</v>
      </c>
      <c r="F20" s="3">
        <v>0.59009259259259261</v>
      </c>
    </row>
    <row r="21" spans="1:6" x14ac:dyDescent="0.35">
      <c r="A21" s="2">
        <v>20</v>
      </c>
      <c r="B21" s="2" t="s">
        <v>8</v>
      </c>
      <c r="C21" s="3">
        <v>0.59009259259259261</v>
      </c>
      <c r="D21" s="3">
        <v>0.59020833333333333</v>
      </c>
      <c r="E21" s="3">
        <v>0.59087962962962959</v>
      </c>
      <c r="F21" s="6">
        <v>0.59096064814814819</v>
      </c>
    </row>
    <row r="22" spans="1:6" x14ac:dyDescent="0.35">
      <c r="A22" s="2">
        <v>21</v>
      </c>
      <c r="B22" s="5" t="s">
        <v>5</v>
      </c>
      <c r="C22" s="3">
        <v>0.56341435185185185</v>
      </c>
      <c r="D22" s="3">
        <v>0.5634837962962963</v>
      </c>
      <c r="E22" s="3">
        <v>0.56369212962962967</v>
      </c>
      <c r="F22" s="3">
        <v>0.5639467592592593</v>
      </c>
    </row>
    <row r="23" spans="1:6" x14ac:dyDescent="0.35">
      <c r="A23" s="2">
        <v>22</v>
      </c>
      <c r="B23" s="2" t="s">
        <v>8</v>
      </c>
      <c r="C23" s="6">
        <v>0.56387731481481485</v>
      </c>
      <c r="D23" s="3">
        <v>0.56403935185185183</v>
      </c>
      <c r="E23" s="3">
        <v>0.56422453703703701</v>
      </c>
      <c r="F23" s="3">
        <v>0.56487268518518519</v>
      </c>
    </row>
    <row r="24" spans="1:6" x14ac:dyDescent="0.35">
      <c r="A24" s="2">
        <v>23</v>
      </c>
      <c r="B24" s="2" t="s">
        <v>8</v>
      </c>
      <c r="C24" s="3">
        <v>0.56487268518518519</v>
      </c>
      <c r="D24" s="3">
        <v>0.56496527777777783</v>
      </c>
      <c r="E24" s="3">
        <v>0.56519675925925927</v>
      </c>
      <c r="F24" s="3">
        <v>0.56540509259259264</v>
      </c>
    </row>
    <row r="25" spans="1:6" x14ac:dyDescent="0.35">
      <c r="A25" s="2">
        <v>24</v>
      </c>
      <c r="B25" s="2" t="s">
        <v>8</v>
      </c>
      <c r="C25" s="3">
        <v>0.56540509259259264</v>
      </c>
      <c r="D25" s="3">
        <v>0.56552083333333336</v>
      </c>
      <c r="E25" s="3">
        <v>0.56570601851851854</v>
      </c>
      <c r="F25" s="3">
        <v>0.5659143518518519</v>
      </c>
    </row>
    <row r="26" spans="1:6" x14ac:dyDescent="0.35">
      <c r="A26" s="2">
        <v>25</v>
      </c>
      <c r="B26" s="2" t="s">
        <v>8</v>
      </c>
      <c r="C26" s="3">
        <v>0.5659143518518519</v>
      </c>
      <c r="D26" s="3">
        <v>0.56598379629629625</v>
      </c>
      <c r="E26" s="3">
        <v>0.56619212962962961</v>
      </c>
      <c r="F26" s="3">
        <v>0.56642361111111106</v>
      </c>
    </row>
    <row r="27" spans="1:6" x14ac:dyDescent="0.35">
      <c r="A27" s="2">
        <v>26</v>
      </c>
      <c r="B27" s="2" t="s">
        <v>8</v>
      </c>
      <c r="C27" s="3">
        <v>0.56642361111111106</v>
      </c>
      <c r="D27" s="3">
        <v>0.56649305555555551</v>
      </c>
      <c r="E27" s="6">
        <v>0.56672453703703707</v>
      </c>
      <c r="F27" s="3">
        <v>0.56693287037037032</v>
      </c>
    </row>
    <row r="28" spans="1:6" x14ac:dyDescent="0.35">
      <c r="A28" s="2">
        <v>27</v>
      </c>
      <c r="B28" s="2" t="s">
        <v>8</v>
      </c>
      <c r="C28" s="3">
        <v>0.56693287037037032</v>
      </c>
      <c r="D28" s="3">
        <v>0.56700231481481478</v>
      </c>
      <c r="E28" s="3">
        <v>0.56723379629629633</v>
      </c>
      <c r="F28" s="3">
        <v>0.56744212962962959</v>
      </c>
    </row>
    <row r="29" spans="1:6" x14ac:dyDescent="0.35">
      <c r="A29" s="2">
        <v>28</v>
      </c>
      <c r="B29" s="2" t="s">
        <v>8</v>
      </c>
      <c r="C29" s="3">
        <v>0.56744212962962959</v>
      </c>
      <c r="D29" s="3">
        <v>0.56755787037037042</v>
      </c>
      <c r="E29" s="3">
        <v>0.5677430555555556</v>
      </c>
      <c r="F29" s="3">
        <v>0.56799768518518523</v>
      </c>
    </row>
    <row r="30" spans="1:6" x14ac:dyDescent="0.35">
      <c r="A30" s="2">
        <v>29</v>
      </c>
      <c r="B30" s="2" t="s">
        <v>8</v>
      </c>
      <c r="C30" s="3">
        <v>0.56799768518518523</v>
      </c>
      <c r="D30" s="3">
        <v>0.56806712962962957</v>
      </c>
      <c r="E30" s="3">
        <v>0.56827546296296294</v>
      </c>
      <c r="F30" s="3">
        <v>0.5685069444444445</v>
      </c>
    </row>
    <row r="31" spans="1:6" x14ac:dyDescent="0.35">
      <c r="A31" s="2">
        <v>30</v>
      </c>
      <c r="B31" s="2" t="s">
        <v>8</v>
      </c>
      <c r="C31" s="3">
        <v>0.5685069444444445</v>
      </c>
      <c r="D31" s="3">
        <v>0.56859953703703703</v>
      </c>
      <c r="E31" s="3">
        <v>0.56878472222222221</v>
      </c>
      <c r="F31" s="3">
        <v>0.56903935185185184</v>
      </c>
    </row>
    <row r="32" spans="1:6" x14ac:dyDescent="0.35">
      <c r="A32" s="2">
        <v>31</v>
      </c>
      <c r="B32" s="2" t="s">
        <v>8</v>
      </c>
      <c r="C32" s="3">
        <v>0.56903935185185184</v>
      </c>
      <c r="D32" s="3">
        <v>0.56910879629629629</v>
      </c>
      <c r="E32" s="3">
        <v>0.56940972222222219</v>
      </c>
      <c r="F32" s="3">
        <v>0.57406250000000003</v>
      </c>
    </row>
    <row r="33" spans="1:6" x14ac:dyDescent="0.35">
      <c r="A33" s="2">
        <v>32</v>
      </c>
      <c r="B33" s="2" t="s">
        <v>8</v>
      </c>
      <c r="C33" s="3">
        <v>0.57406250000000003</v>
      </c>
      <c r="D33" s="3">
        <v>0.57417824074074075</v>
      </c>
      <c r="E33" s="3">
        <v>0.5744097222222222</v>
      </c>
      <c r="F33" s="3">
        <v>0.57695601851851852</v>
      </c>
    </row>
    <row r="34" spans="1:6" x14ac:dyDescent="0.35">
      <c r="A34" s="2">
        <v>33</v>
      </c>
      <c r="B34" s="2" t="s">
        <v>8</v>
      </c>
      <c r="C34" s="3">
        <v>0.57695601851851852</v>
      </c>
      <c r="D34" s="3">
        <v>0.57704861111111116</v>
      </c>
      <c r="E34" s="3">
        <v>0.57723379629629634</v>
      </c>
      <c r="F34" s="3">
        <v>0.57755787037037032</v>
      </c>
    </row>
    <row r="35" spans="1:6" x14ac:dyDescent="0.35">
      <c r="A35" s="2">
        <v>34</v>
      </c>
      <c r="B35" s="2" t="s">
        <v>8</v>
      </c>
      <c r="C35" s="3">
        <v>0.57755787037037032</v>
      </c>
      <c r="D35" s="3">
        <v>0.57765046296296296</v>
      </c>
      <c r="E35" s="3">
        <v>0.57785879629629633</v>
      </c>
      <c r="F35" s="3">
        <v>0.57811342592592596</v>
      </c>
    </row>
    <row r="36" spans="1:6" x14ac:dyDescent="0.35">
      <c r="A36" s="2">
        <v>35</v>
      </c>
      <c r="B36" s="2" t="s">
        <v>8</v>
      </c>
      <c r="C36" s="3">
        <v>0.57811342592592596</v>
      </c>
      <c r="D36" s="3">
        <v>0.57818287037037042</v>
      </c>
      <c r="E36" s="3">
        <v>0.57841435185185186</v>
      </c>
      <c r="F36" s="3">
        <v>0.57934027777777775</v>
      </c>
    </row>
    <row r="37" spans="1:6" x14ac:dyDescent="0.35">
      <c r="A37" s="2">
        <v>36</v>
      </c>
      <c r="B37" s="5" t="s">
        <v>7</v>
      </c>
      <c r="C37" s="3">
        <v>0.57934027777777775</v>
      </c>
      <c r="D37" s="3">
        <v>0.5794097222222222</v>
      </c>
      <c r="E37" s="3">
        <v>0.57964120370370376</v>
      </c>
      <c r="F37" s="6">
        <v>0.57975694444444448</v>
      </c>
    </row>
    <row r="38" spans="1:6" x14ac:dyDescent="0.35">
      <c r="A38" s="2">
        <v>37</v>
      </c>
      <c r="B38" s="2" t="s">
        <v>6</v>
      </c>
      <c r="C38" s="3">
        <v>0.58156249999999998</v>
      </c>
      <c r="D38" s="3">
        <v>0.58165509259259263</v>
      </c>
      <c r="E38" s="3">
        <v>0.58181712962962961</v>
      </c>
      <c r="F38" s="3">
        <v>0.58200231481481479</v>
      </c>
    </row>
    <row r="39" spans="1:6" x14ac:dyDescent="0.35">
      <c r="A39" s="2">
        <v>38</v>
      </c>
      <c r="B39" s="2" t="s">
        <v>7</v>
      </c>
      <c r="C39" s="3">
        <v>0.58200231481481479</v>
      </c>
      <c r="D39" s="3">
        <v>0.58207175925925925</v>
      </c>
      <c r="E39" s="3">
        <v>0.58223379629629635</v>
      </c>
      <c r="F39" s="3">
        <v>0.58251157407407406</v>
      </c>
    </row>
    <row r="40" spans="1:6" x14ac:dyDescent="0.35">
      <c r="A40" s="2">
        <v>39</v>
      </c>
      <c r="B40" s="2" t="s">
        <v>8</v>
      </c>
      <c r="C40" s="3">
        <v>0.58251157407407406</v>
      </c>
      <c r="D40" s="3">
        <v>0.58255787037037032</v>
      </c>
      <c r="E40" s="3">
        <v>0.5827430555555555</v>
      </c>
      <c r="F40" s="3">
        <v>0.58297453703703705</v>
      </c>
    </row>
    <row r="41" spans="1:6" x14ac:dyDescent="0.35">
      <c r="A41" s="2">
        <v>40</v>
      </c>
      <c r="B41" s="2" t="s">
        <v>8</v>
      </c>
      <c r="C41" s="3">
        <v>0.58297453703703705</v>
      </c>
      <c r="D41" s="3">
        <v>0.58306712962962959</v>
      </c>
      <c r="E41" s="3">
        <v>0.58325231481481477</v>
      </c>
      <c r="F41" s="3">
        <v>0.58343750000000005</v>
      </c>
    </row>
    <row r="42" spans="1:6" x14ac:dyDescent="0.35">
      <c r="A42" s="2">
        <v>41</v>
      </c>
      <c r="B42" s="2" t="s">
        <v>8</v>
      </c>
      <c r="C42" s="3">
        <v>0.58343750000000005</v>
      </c>
      <c r="D42" s="3">
        <v>0.58353009259259259</v>
      </c>
      <c r="E42" s="3">
        <v>0.58371527777777776</v>
      </c>
      <c r="F42" s="3">
        <v>0.58394675925925921</v>
      </c>
    </row>
    <row r="43" spans="1:6" x14ac:dyDescent="0.35">
      <c r="A43" s="2">
        <v>42</v>
      </c>
      <c r="B43" s="2" t="s">
        <v>8</v>
      </c>
      <c r="C43" s="3">
        <v>0.58394675925925921</v>
      </c>
      <c r="D43" s="3">
        <v>0.58403935185185185</v>
      </c>
      <c r="E43" s="3">
        <v>0.58422453703703703</v>
      </c>
      <c r="F43" s="3">
        <v>0.58443287037037039</v>
      </c>
    </row>
    <row r="44" spans="1:6" x14ac:dyDescent="0.35">
      <c r="A44" s="2">
        <v>43</v>
      </c>
      <c r="B44" s="2" t="s">
        <v>8</v>
      </c>
      <c r="C44" s="3">
        <v>0.58443287037037039</v>
      </c>
      <c r="D44" s="3">
        <v>0.58452546296296293</v>
      </c>
      <c r="E44" s="3">
        <v>0.58473379629629629</v>
      </c>
      <c r="F44" s="3">
        <v>0.58494212962962966</v>
      </c>
    </row>
    <row r="45" spans="1:6" x14ac:dyDescent="0.35">
      <c r="A45" s="2">
        <v>44</v>
      </c>
      <c r="B45" s="2" t="s">
        <v>8</v>
      </c>
      <c r="C45" s="3">
        <v>0.58494212962962966</v>
      </c>
      <c r="D45" s="3">
        <v>0.58503472222222219</v>
      </c>
      <c r="E45" s="3">
        <v>0.58528935185185182</v>
      </c>
      <c r="F45" s="3">
        <v>0.58554398148148146</v>
      </c>
    </row>
    <row r="46" spans="1:6" x14ac:dyDescent="0.35">
      <c r="A46" s="2">
        <v>45</v>
      </c>
      <c r="B46" s="2" t="s">
        <v>8</v>
      </c>
      <c r="C46" s="3">
        <v>0.58554398148148146</v>
      </c>
      <c r="D46" s="3">
        <v>0.58561342592592591</v>
      </c>
      <c r="E46" s="3">
        <v>0.58582175925925928</v>
      </c>
      <c r="F46" s="3">
        <v>0.58605324074074072</v>
      </c>
    </row>
    <row r="47" spans="1:6" x14ac:dyDescent="0.35">
      <c r="A47" s="2">
        <v>46</v>
      </c>
      <c r="B47" s="2" t="s">
        <v>8</v>
      </c>
      <c r="C47" s="3">
        <v>0.58605324074074072</v>
      </c>
      <c r="D47" s="3">
        <v>0.58612268518518518</v>
      </c>
      <c r="E47" s="3">
        <v>0.58633101851851854</v>
      </c>
      <c r="F47" s="3">
        <v>0.58656249999999999</v>
      </c>
    </row>
    <row r="48" spans="1:6" x14ac:dyDescent="0.35">
      <c r="A48" s="2">
        <v>47</v>
      </c>
      <c r="B48" s="2" t="s">
        <v>8</v>
      </c>
      <c r="C48" s="3">
        <v>0.58633101851851854</v>
      </c>
      <c r="D48" s="3">
        <v>0.58665509259259263</v>
      </c>
      <c r="E48" s="3">
        <v>0.58686342592592589</v>
      </c>
      <c r="F48" s="3">
        <v>0.58711805555555552</v>
      </c>
    </row>
    <row r="49" spans="1:6" x14ac:dyDescent="0.35">
      <c r="A49" s="2">
        <v>48</v>
      </c>
      <c r="B49" s="2" t="s">
        <v>8</v>
      </c>
      <c r="C49" s="3">
        <v>0.58711805555555552</v>
      </c>
      <c r="D49" s="3">
        <v>0.58718749999999997</v>
      </c>
      <c r="E49" s="3">
        <v>0.58739583333333334</v>
      </c>
      <c r="F49" s="3">
        <v>0.58765046296296297</v>
      </c>
    </row>
    <row r="50" spans="1:6" x14ac:dyDescent="0.35">
      <c r="A50" s="2">
        <v>49</v>
      </c>
      <c r="B50" s="2" t="s">
        <v>8</v>
      </c>
      <c r="C50" s="3">
        <v>0.58765046296296297</v>
      </c>
      <c r="D50" s="3">
        <v>0.5877430555555555</v>
      </c>
      <c r="E50" s="3">
        <v>0.58795138888888887</v>
      </c>
      <c r="F50" s="3">
        <v>0.58827546296296296</v>
      </c>
    </row>
    <row r="51" spans="1:6" x14ac:dyDescent="0.35">
      <c r="A51" s="2">
        <v>50</v>
      </c>
      <c r="B51" s="2" t="s">
        <v>8</v>
      </c>
      <c r="C51" s="3">
        <v>0.58827546296296296</v>
      </c>
      <c r="D51" s="3">
        <v>0.58834490740740741</v>
      </c>
      <c r="E51" s="3">
        <v>0.58855324074074078</v>
      </c>
      <c r="F51" s="3">
        <v>0.58883101851851849</v>
      </c>
    </row>
    <row r="52" spans="1:6" x14ac:dyDescent="0.35">
      <c r="A52" s="2">
        <v>51</v>
      </c>
      <c r="B52" s="2" t="s">
        <v>8</v>
      </c>
      <c r="C52" s="3">
        <v>0.58883101851851849</v>
      </c>
      <c r="D52" s="3">
        <v>0.58890046296296295</v>
      </c>
      <c r="E52" s="3">
        <v>0.5891319444444445</v>
      </c>
      <c r="F52" s="3">
        <v>0.58938657407407402</v>
      </c>
    </row>
    <row r="53" spans="1:6" x14ac:dyDescent="0.35">
      <c r="A53" s="2">
        <v>52</v>
      </c>
      <c r="B53" s="2" t="s">
        <v>8</v>
      </c>
      <c r="C53" s="3">
        <v>0.58938657407407402</v>
      </c>
      <c r="D53" s="3">
        <v>0.58947916666666667</v>
      </c>
      <c r="E53" s="3">
        <v>0.58971064814814811</v>
      </c>
      <c r="F53" s="3">
        <v>0.58991898148148147</v>
      </c>
    </row>
    <row r="54" spans="1:6" x14ac:dyDescent="0.35">
      <c r="A54" s="2">
        <v>53</v>
      </c>
      <c r="B54" s="5" t="s">
        <v>5</v>
      </c>
      <c r="C54" s="3">
        <v>0.58991898148148147</v>
      </c>
      <c r="D54" s="3">
        <v>0.59021990740740737</v>
      </c>
      <c r="E54" s="3">
        <v>0.59049768518518519</v>
      </c>
      <c r="F54" s="6">
        <v>0.5912384259259259</v>
      </c>
    </row>
    <row r="55" spans="1:6" x14ac:dyDescent="0.35">
      <c r="A55" s="5">
        <v>54</v>
      </c>
      <c r="B55" s="5" t="s">
        <v>5</v>
      </c>
      <c r="C55" s="6">
        <v>0.5921643518518519</v>
      </c>
      <c r="D55" s="6">
        <v>0.59232638888888889</v>
      </c>
      <c r="E55" s="6">
        <v>0.59251157407407407</v>
      </c>
      <c r="F55" s="6">
        <v>0.59260416666666671</v>
      </c>
    </row>
    <row r="56" spans="1:6" x14ac:dyDescent="0.35">
      <c r="A56" s="5">
        <v>55</v>
      </c>
      <c r="B56" s="5" t="s">
        <v>8</v>
      </c>
      <c r="C56" s="6">
        <v>0.59265046296296298</v>
      </c>
      <c r="D56" s="6">
        <v>0.59283564814814815</v>
      </c>
      <c r="E56" s="6">
        <v>0.59299768518518514</v>
      </c>
      <c r="F56" s="6">
        <v>0.59309027777777779</v>
      </c>
    </row>
    <row r="57" spans="1:6" x14ac:dyDescent="0.35">
      <c r="A57" s="5">
        <v>56</v>
      </c>
      <c r="B57" s="5" t="s">
        <v>8</v>
      </c>
      <c r="C57" s="6">
        <v>0.59309027777777779</v>
      </c>
      <c r="D57" s="6">
        <v>0.59332175925925923</v>
      </c>
      <c r="E57" s="6">
        <v>0.59348379629629633</v>
      </c>
      <c r="F57" s="6">
        <v>0.59357638888888886</v>
      </c>
    </row>
    <row r="58" spans="1:6" x14ac:dyDescent="0.35">
      <c r="A58" s="5">
        <v>57</v>
      </c>
      <c r="B58" s="5" t="s">
        <v>8</v>
      </c>
      <c r="C58" s="6">
        <v>0.59357638888888886</v>
      </c>
      <c r="D58" s="6">
        <v>0.59378472222222223</v>
      </c>
      <c r="E58" s="6">
        <v>0.59392361111111114</v>
      </c>
      <c r="F58" s="6">
        <v>0.59401620370370367</v>
      </c>
    </row>
    <row r="59" spans="1:6" x14ac:dyDescent="0.35">
      <c r="A59" s="5">
        <v>58</v>
      </c>
      <c r="B59" s="5" t="s">
        <v>8</v>
      </c>
      <c r="C59" s="6">
        <v>0.59401620370370367</v>
      </c>
      <c r="D59" s="6">
        <v>0.59422453703703704</v>
      </c>
      <c r="E59" s="6">
        <v>0.59436342592592595</v>
      </c>
      <c r="F59" s="6">
        <v>0.59445601851851848</v>
      </c>
    </row>
    <row r="60" spans="1:6" x14ac:dyDescent="0.35">
      <c r="A60" s="2">
        <v>59</v>
      </c>
      <c r="B60" s="3" t="s">
        <v>8</v>
      </c>
      <c r="C60" s="6">
        <v>0.59445601851851848</v>
      </c>
      <c r="D60" s="3">
        <v>0.59466435185185185</v>
      </c>
      <c r="E60" s="3">
        <v>0.59480324074074076</v>
      </c>
      <c r="F60" s="3">
        <v>0.59501157407407412</v>
      </c>
    </row>
    <row r="61" spans="1:6" x14ac:dyDescent="0.35">
      <c r="A61" s="2">
        <v>60</v>
      </c>
      <c r="B61" s="2" t="s">
        <v>8</v>
      </c>
      <c r="C61" s="3">
        <v>0.59501157407407412</v>
      </c>
      <c r="D61" s="3">
        <v>0.59508101851851847</v>
      </c>
      <c r="E61" s="3">
        <v>0.59524305555555557</v>
      </c>
      <c r="F61" s="3">
        <v>0.59550925925925924</v>
      </c>
    </row>
    <row r="62" spans="1:6" x14ac:dyDescent="0.35">
      <c r="A62" s="2">
        <v>61</v>
      </c>
      <c r="B62" s="2" t="s">
        <v>8</v>
      </c>
      <c r="C62" s="3">
        <v>0.59550925925925924</v>
      </c>
      <c r="D62" s="3">
        <v>0.59559027777777773</v>
      </c>
      <c r="E62" s="3">
        <v>0.59572916666666664</v>
      </c>
      <c r="F62" s="3">
        <v>0.59593750000000001</v>
      </c>
    </row>
    <row r="63" spans="1:6" x14ac:dyDescent="0.35">
      <c r="A63" s="2">
        <v>62</v>
      </c>
      <c r="B63" s="2" t="s">
        <v>8</v>
      </c>
      <c r="C63" s="3">
        <v>0.59593750000000001</v>
      </c>
      <c r="D63" s="3">
        <v>0.59603009259259254</v>
      </c>
      <c r="E63" s="3">
        <v>0.59616898148148145</v>
      </c>
      <c r="F63" s="3">
        <v>0.59644675925925927</v>
      </c>
    </row>
    <row r="64" spans="1:6" x14ac:dyDescent="0.35">
      <c r="A64" s="2">
        <v>63</v>
      </c>
      <c r="B64" s="2" t="s">
        <v>8</v>
      </c>
      <c r="C64" s="3">
        <v>0.59644675925925927</v>
      </c>
      <c r="D64" s="3">
        <v>0.59652777777777777</v>
      </c>
      <c r="E64" s="3">
        <v>0.59665509259259264</v>
      </c>
      <c r="F64" s="3">
        <v>0.59684027777777782</v>
      </c>
    </row>
    <row r="65" spans="1:6" x14ac:dyDescent="0.35">
      <c r="A65" s="2">
        <v>64</v>
      </c>
      <c r="B65" s="2" t="s">
        <v>8</v>
      </c>
      <c r="C65" s="3">
        <v>0.59684027777777782</v>
      </c>
      <c r="D65" s="3">
        <v>0.59690972222222227</v>
      </c>
      <c r="E65" s="3">
        <v>0.59704861111111107</v>
      </c>
      <c r="F65" s="3">
        <v>0.59725694444444444</v>
      </c>
    </row>
    <row r="66" spans="1:6" x14ac:dyDescent="0.35">
      <c r="A66" s="2">
        <v>65</v>
      </c>
      <c r="B66" s="2" t="s">
        <v>8</v>
      </c>
      <c r="C66" s="3">
        <v>0.59725694444444444</v>
      </c>
      <c r="D66" s="3">
        <v>0.59734953703703708</v>
      </c>
      <c r="E66" s="3">
        <v>0.5974652777777778</v>
      </c>
      <c r="F66" s="3">
        <v>0.59767361111111106</v>
      </c>
    </row>
    <row r="67" spans="1:6" x14ac:dyDescent="0.35">
      <c r="A67" s="2">
        <v>66</v>
      </c>
      <c r="B67" s="2" t="s">
        <v>8</v>
      </c>
      <c r="C67" s="3">
        <v>0.59767361111111106</v>
      </c>
      <c r="D67" s="3">
        <v>0.59774305555555551</v>
      </c>
      <c r="E67" s="3">
        <v>0.59791666666666665</v>
      </c>
      <c r="F67" s="3">
        <v>0.5980671296296296</v>
      </c>
    </row>
    <row r="68" spans="1:6" x14ac:dyDescent="0.35">
      <c r="A68" s="2">
        <v>67</v>
      </c>
      <c r="B68" s="2" t="s">
        <v>8</v>
      </c>
      <c r="C68" s="3">
        <v>0.5980671296296296</v>
      </c>
      <c r="D68" s="3">
        <v>0.59813657407407406</v>
      </c>
      <c r="E68" s="3">
        <v>0.59829861111111116</v>
      </c>
      <c r="F68" s="3">
        <v>0.59859953703703705</v>
      </c>
    </row>
    <row r="69" spans="1:6" x14ac:dyDescent="0.35">
      <c r="A69" s="2">
        <v>68</v>
      </c>
      <c r="B69" s="2" t="s">
        <v>8</v>
      </c>
      <c r="C69" s="3">
        <v>0.59859953703703705</v>
      </c>
      <c r="D69" s="3">
        <v>0.59869212962962959</v>
      </c>
      <c r="E69" s="3">
        <v>0.5988310185185185</v>
      </c>
      <c r="F69" s="3">
        <v>0.59901620370370368</v>
      </c>
    </row>
    <row r="70" spans="1:6" x14ac:dyDescent="0.35">
      <c r="A70" s="2">
        <v>69</v>
      </c>
      <c r="B70" s="2" t="s">
        <v>8</v>
      </c>
      <c r="C70" s="3">
        <v>0.59901620370370368</v>
      </c>
      <c r="D70" s="3">
        <v>0.5991319444444444</v>
      </c>
      <c r="E70" s="3">
        <v>0.59925925925925927</v>
      </c>
      <c r="F70" s="3">
        <v>0.59943287037037041</v>
      </c>
    </row>
    <row r="71" spans="1:6" x14ac:dyDescent="0.35">
      <c r="A71" s="2">
        <v>70</v>
      </c>
      <c r="B71" s="2" t="s">
        <v>8</v>
      </c>
      <c r="C71" s="3">
        <v>0.59943287037037041</v>
      </c>
      <c r="D71" s="3">
        <v>0.59952546296296294</v>
      </c>
      <c r="E71" s="3">
        <v>0.59967592592592589</v>
      </c>
      <c r="F71" s="6">
        <v>0.5997569444444445</v>
      </c>
    </row>
    <row r="72" spans="1:6" x14ac:dyDescent="0.35">
      <c r="A72" s="2">
        <v>71</v>
      </c>
      <c r="B72" s="2" t="s">
        <v>6</v>
      </c>
      <c r="C72" s="3">
        <v>0.63096064814814812</v>
      </c>
      <c r="D72" s="3">
        <v>0.63109953703703703</v>
      </c>
      <c r="E72" s="3">
        <v>0.63130787037037039</v>
      </c>
      <c r="F72" s="3">
        <v>0.63146990740740738</v>
      </c>
    </row>
    <row r="73" spans="1:6" x14ac:dyDescent="0.35">
      <c r="A73" s="2">
        <v>72</v>
      </c>
      <c r="B73" s="2" t="s">
        <v>7</v>
      </c>
      <c r="C73" s="3">
        <v>0.63146990740740738</v>
      </c>
      <c r="D73" s="3">
        <v>0.63151620370370365</v>
      </c>
      <c r="E73" s="3">
        <v>0.63170138888888894</v>
      </c>
      <c r="F73" s="3">
        <v>0.63211805555555556</v>
      </c>
    </row>
    <row r="74" spans="1:6" x14ac:dyDescent="0.35">
      <c r="A74" s="2">
        <v>73</v>
      </c>
      <c r="B74" s="2" t="s">
        <v>8</v>
      </c>
      <c r="C74" s="3">
        <v>0.63211805555555556</v>
      </c>
      <c r="D74" s="3">
        <v>0.6322106481481482</v>
      </c>
      <c r="E74" s="3">
        <v>0.63237268518518519</v>
      </c>
      <c r="F74" s="3">
        <v>0.63253472222222218</v>
      </c>
    </row>
    <row r="75" spans="1:6" x14ac:dyDescent="0.35">
      <c r="A75" s="2">
        <v>74</v>
      </c>
      <c r="B75" s="2" t="s">
        <v>8</v>
      </c>
      <c r="C75" s="3">
        <v>0.63253472222222218</v>
      </c>
      <c r="D75" s="3">
        <v>0.63262731481481482</v>
      </c>
      <c r="E75" s="3">
        <v>0.6328125</v>
      </c>
      <c r="F75" s="3">
        <v>0.63299768518518518</v>
      </c>
    </row>
    <row r="76" spans="1:6" x14ac:dyDescent="0.35">
      <c r="A76" s="2">
        <v>75</v>
      </c>
      <c r="B76" s="2" t="s">
        <v>8</v>
      </c>
      <c r="C76" s="3">
        <v>0.63299768518518518</v>
      </c>
      <c r="D76" s="3">
        <v>0.63309027777777782</v>
      </c>
      <c r="E76" s="3">
        <v>0.63325231481481481</v>
      </c>
      <c r="F76" s="3">
        <v>0.6334143518518518</v>
      </c>
    </row>
    <row r="77" spans="1:6" x14ac:dyDescent="0.35">
      <c r="A77" s="2">
        <v>76</v>
      </c>
      <c r="B77" s="2" t="s">
        <v>8</v>
      </c>
      <c r="C77" s="3">
        <v>0.6334143518518518</v>
      </c>
      <c r="D77" s="3">
        <v>0.63348379629629625</v>
      </c>
      <c r="E77" s="3">
        <v>0.63364583333333335</v>
      </c>
      <c r="F77" s="3">
        <v>0.63380787037037034</v>
      </c>
    </row>
    <row r="78" spans="1:6" x14ac:dyDescent="0.35">
      <c r="A78" s="2">
        <v>77</v>
      </c>
      <c r="B78" s="2" t="s">
        <v>8</v>
      </c>
      <c r="C78" s="3">
        <v>0.63380787037037034</v>
      </c>
      <c r="D78" s="3">
        <v>0.63385416666666672</v>
      </c>
      <c r="E78" s="3">
        <v>0.63401620370370371</v>
      </c>
      <c r="F78" s="3">
        <v>0.63443287037037033</v>
      </c>
    </row>
    <row r="79" spans="1:6" x14ac:dyDescent="0.35">
      <c r="A79" s="2">
        <v>78</v>
      </c>
      <c r="B79" s="2" t="s">
        <v>8</v>
      </c>
      <c r="C79" s="3">
        <v>0.63443287037037033</v>
      </c>
      <c r="D79" s="3">
        <v>0.63450231481481478</v>
      </c>
      <c r="E79" s="3">
        <v>0.63466435185185188</v>
      </c>
      <c r="F79" s="3">
        <v>0.635162037037037</v>
      </c>
    </row>
    <row r="80" spans="1:6" x14ac:dyDescent="0.35">
      <c r="A80" s="2">
        <v>79</v>
      </c>
      <c r="B80" s="2" t="s">
        <v>8</v>
      </c>
      <c r="C80" s="3">
        <v>0.635162037037037</v>
      </c>
      <c r="D80" s="3">
        <v>0.6352430555555556</v>
      </c>
      <c r="E80" s="3">
        <v>0.6353819444444444</v>
      </c>
      <c r="F80" s="3">
        <v>0.6355439814814815</v>
      </c>
    </row>
    <row r="81" spans="1:6" x14ac:dyDescent="0.35">
      <c r="A81" s="2">
        <v>80</v>
      </c>
      <c r="B81" s="2" t="s">
        <v>8</v>
      </c>
      <c r="C81" s="3">
        <v>0.6355439814814815</v>
      </c>
      <c r="D81" s="3">
        <v>0.63561342592592596</v>
      </c>
      <c r="E81" s="3">
        <v>0.63575231481481487</v>
      </c>
      <c r="F81" s="3">
        <v>0.63590277777777782</v>
      </c>
    </row>
    <row r="82" spans="1:6" x14ac:dyDescent="0.35">
      <c r="A82" s="2">
        <v>81</v>
      </c>
      <c r="B82" s="2" t="s">
        <v>8</v>
      </c>
      <c r="C82" s="3">
        <v>0.63590277777777782</v>
      </c>
      <c r="D82" s="3">
        <v>0.63596064814814812</v>
      </c>
      <c r="E82" s="3">
        <v>0.63609953703703703</v>
      </c>
      <c r="F82" s="3">
        <v>0.63624999999999998</v>
      </c>
    </row>
    <row r="83" spans="1:6" x14ac:dyDescent="0.35">
      <c r="A83" s="2">
        <v>82</v>
      </c>
      <c r="B83" s="2" t="s">
        <v>8</v>
      </c>
      <c r="C83" s="3">
        <v>0.63624999999999998</v>
      </c>
      <c r="D83" s="3">
        <v>0.63633101851851848</v>
      </c>
      <c r="E83" s="3">
        <v>0.63646990740740739</v>
      </c>
      <c r="F83" s="3">
        <v>0.63662037037037034</v>
      </c>
    </row>
    <row r="84" spans="1:6" x14ac:dyDescent="0.35">
      <c r="A84" s="2">
        <v>83</v>
      </c>
      <c r="B84" s="2" t="s">
        <v>8</v>
      </c>
      <c r="C84" s="3">
        <v>0.63662037037037034</v>
      </c>
      <c r="D84" s="3">
        <v>0.63667824074074075</v>
      </c>
      <c r="E84" s="3">
        <v>0.63681712962962966</v>
      </c>
      <c r="F84" s="3">
        <v>0.63693287037037039</v>
      </c>
    </row>
    <row r="85" spans="1:6" x14ac:dyDescent="0.35">
      <c r="A85" s="2">
        <v>84</v>
      </c>
      <c r="B85" s="2" t="s">
        <v>8</v>
      </c>
      <c r="C85" s="3">
        <v>0.63693287037037039</v>
      </c>
      <c r="D85" s="3">
        <v>0.63702546296296292</v>
      </c>
      <c r="E85" s="3">
        <v>0.63714120370370375</v>
      </c>
      <c r="F85" s="3">
        <v>0.63728009259259255</v>
      </c>
    </row>
    <row r="86" spans="1:6" x14ac:dyDescent="0.35">
      <c r="A86" s="2">
        <v>85</v>
      </c>
      <c r="B86" s="2" t="s">
        <v>8</v>
      </c>
      <c r="C86" s="3">
        <v>0.63728009259259255</v>
      </c>
      <c r="D86" s="3">
        <v>0.63736111111111116</v>
      </c>
      <c r="E86" s="3">
        <v>0.63748842592592592</v>
      </c>
      <c r="F86" s="3">
        <v>0.63760416666666664</v>
      </c>
    </row>
    <row r="87" spans="1:6" x14ac:dyDescent="0.35">
      <c r="A87" s="2">
        <v>86</v>
      </c>
      <c r="B87" s="2" t="s">
        <v>8</v>
      </c>
      <c r="C87" s="3">
        <v>0.63760416666666664</v>
      </c>
      <c r="D87" s="3">
        <v>0.63769675925925928</v>
      </c>
      <c r="E87" s="3">
        <v>0.63778935185185182</v>
      </c>
      <c r="F87" s="3">
        <v>0.63792824074074073</v>
      </c>
    </row>
    <row r="88" spans="1:6" x14ac:dyDescent="0.35">
      <c r="A88" s="2">
        <v>87</v>
      </c>
      <c r="B88" s="2" t="s">
        <v>8</v>
      </c>
      <c r="C88" s="3">
        <v>0.63792824074074073</v>
      </c>
      <c r="D88" s="3">
        <v>0.63800925925925922</v>
      </c>
      <c r="E88" s="3">
        <v>0.6381134259259259</v>
      </c>
      <c r="F88" s="3">
        <v>0.63832175925925927</v>
      </c>
    </row>
    <row r="89" spans="1:6" x14ac:dyDescent="0.35">
      <c r="A89" s="2">
        <v>88</v>
      </c>
      <c r="B89" s="2" t="s">
        <v>8</v>
      </c>
      <c r="C89" s="3">
        <v>0.63832175925925927</v>
      </c>
      <c r="D89" s="3">
        <v>0.63839120370370372</v>
      </c>
      <c r="E89" s="3">
        <v>0.63850694444444445</v>
      </c>
      <c r="F89" s="3">
        <v>0.63878472222222227</v>
      </c>
    </row>
    <row r="90" spans="1:6" x14ac:dyDescent="0.35">
      <c r="A90" s="2">
        <v>89</v>
      </c>
      <c r="B90" s="2" t="s">
        <v>8</v>
      </c>
      <c r="C90" s="3">
        <v>0.63878472222222227</v>
      </c>
      <c r="D90" s="3">
        <v>0.6388773148148148</v>
      </c>
      <c r="E90" s="3">
        <v>0.63899305555555552</v>
      </c>
      <c r="F90" s="6">
        <v>0.63952546296296298</v>
      </c>
    </row>
    <row r="91" spans="1:6" x14ac:dyDescent="0.35">
      <c r="A91" s="2">
        <v>90</v>
      </c>
      <c r="B91" s="5" t="s">
        <v>5</v>
      </c>
      <c r="C91" s="3">
        <v>0.6401041666666667</v>
      </c>
      <c r="D91" s="3">
        <v>0.64021990740740742</v>
      </c>
      <c r="E91" s="3">
        <v>0.64038194444444441</v>
      </c>
      <c r="F91" s="3">
        <v>0.64072916666666668</v>
      </c>
    </row>
    <row r="92" spans="1:6" x14ac:dyDescent="0.35">
      <c r="A92" s="2">
        <v>91</v>
      </c>
      <c r="B92" s="2" t="s">
        <v>8</v>
      </c>
      <c r="C92" s="3">
        <v>0.64072916666666668</v>
      </c>
      <c r="D92" s="3">
        <v>0.64086805555555559</v>
      </c>
      <c r="E92" s="3">
        <v>0.64105324074074077</v>
      </c>
      <c r="F92" s="3">
        <v>0.64126157407407403</v>
      </c>
    </row>
    <row r="93" spans="1:6" x14ac:dyDescent="0.35">
      <c r="A93" s="2">
        <v>92</v>
      </c>
      <c r="B93" s="2" t="s">
        <v>8</v>
      </c>
      <c r="C93" s="3">
        <v>0.64126157407407403</v>
      </c>
      <c r="D93" s="3">
        <v>0.64137731481481486</v>
      </c>
      <c r="E93" s="3">
        <v>0.64153935185185185</v>
      </c>
      <c r="F93" s="3">
        <v>0.64172453703703702</v>
      </c>
    </row>
    <row r="94" spans="1:6" x14ac:dyDescent="0.35">
      <c r="A94" s="2">
        <v>93</v>
      </c>
      <c r="B94" s="2" t="s">
        <v>8</v>
      </c>
      <c r="C94" s="3">
        <v>0.64172453703703702</v>
      </c>
      <c r="D94" s="3">
        <v>0.64179398148148148</v>
      </c>
      <c r="E94" s="3">
        <v>0.64197916666666666</v>
      </c>
      <c r="F94" s="3">
        <v>0.64215277777777779</v>
      </c>
    </row>
    <row r="95" spans="1:6" x14ac:dyDescent="0.35">
      <c r="A95" s="2">
        <v>94</v>
      </c>
      <c r="B95" s="2" t="s">
        <v>8</v>
      </c>
      <c r="C95" s="3">
        <v>0.64215277777777779</v>
      </c>
      <c r="D95" s="3">
        <v>0.64223379629629629</v>
      </c>
      <c r="E95" s="3">
        <v>0.64239583333333339</v>
      </c>
      <c r="F95" s="3">
        <v>0.64258101851851857</v>
      </c>
    </row>
    <row r="96" spans="1:6" x14ac:dyDescent="0.35">
      <c r="A96" s="2">
        <v>95</v>
      </c>
      <c r="B96" s="2" t="s">
        <v>8</v>
      </c>
      <c r="C96" s="3">
        <v>0.64258101851851857</v>
      </c>
      <c r="D96" s="3">
        <v>0.64269675925925929</v>
      </c>
      <c r="E96" s="4">
        <v>0.64285879629629628</v>
      </c>
      <c r="F96" s="3">
        <v>0.64304398148148145</v>
      </c>
    </row>
    <row r="97" spans="1:6" x14ac:dyDescent="0.35">
      <c r="A97" s="2">
        <v>96</v>
      </c>
      <c r="B97" s="2" t="s">
        <v>8</v>
      </c>
      <c r="C97" s="3">
        <v>0.64304398148148145</v>
      </c>
      <c r="D97" s="3">
        <v>0.6431365740740741</v>
      </c>
      <c r="E97" s="3">
        <v>0.64332175925925927</v>
      </c>
      <c r="F97" s="3">
        <v>0.64350694444444445</v>
      </c>
    </row>
    <row r="98" spans="1:6" x14ac:dyDescent="0.35">
      <c r="A98" s="2">
        <v>97</v>
      </c>
      <c r="B98" s="2" t="s">
        <v>8</v>
      </c>
      <c r="C98" s="3">
        <v>0.64350694444444445</v>
      </c>
      <c r="D98" s="3">
        <v>0.64359953703703698</v>
      </c>
      <c r="E98" s="3">
        <v>0.64378472222222227</v>
      </c>
      <c r="F98" s="3">
        <v>0.64399305555555553</v>
      </c>
    </row>
    <row r="99" spans="1:6" x14ac:dyDescent="0.35">
      <c r="A99" s="2">
        <v>98</v>
      </c>
      <c r="B99" s="2" t="s">
        <v>8</v>
      </c>
      <c r="C99" s="3">
        <v>0.64399305555555553</v>
      </c>
      <c r="D99" s="3">
        <v>0.64406249999999998</v>
      </c>
      <c r="E99" s="3">
        <v>0.64424768518518516</v>
      </c>
      <c r="F99" s="3">
        <v>0.64445601851851853</v>
      </c>
    </row>
    <row r="100" spans="1:6" x14ac:dyDescent="0.35">
      <c r="A100" s="2">
        <v>99</v>
      </c>
      <c r="B100" s="2" t="s">
        <v>8</v>
      </c>
      <c r="C100" s="3">
        <v>0.64445601851851853</v>
      </c>
      <c r="D100" s="3">
        <v>0.64452546296296298</v>
      </c>
      <c r="E100" s="3">
        <v>0.64478009259259261</v>
      </c>
      <c r="F100" s="3">
        <v>0.6449421296296296</v>
      </c>
    </row>
    <row r="101" spans="1:6" x14ac:dyDescent="0.35">
      <c r="A101" s="2">
        <v>100</v>
      </c>
      <c r="B101" s="2" t="s">
        <v>8</v>
      </c>
      <c r="C101" s="3">
        <v>0.6449421296296296</v>
      </c>
      <c r="D101" s="3">
        <v>0.6450231481481481</v>
      </c>
      <c r="E101" s="3">
        <v>0.64519675925925923</v>
      </c>
      <c r="F101" s="3">
        <v>0.64538194444444441</v>
      </c>
    </row>
    <row r="102" spans="1:6" x14ac:dyDescent="0.35">
      <c r="A102" s="2">
        <v>101</v>
      </c>
      <c r="B102" s="2" t="s">
        <v>8</v>
      </c>
      <c r="C102" s="3">
        <v>0.64538194444444441</v>
      </c>
      <c r="D102" s="3">
        <v>0.64547453703703705</v>
      </c>
      <c r="E102" s="3">
        <v>0.64565972222222223</v>
      </c>
      <c r="F102" s="3">
        <v>0.64584490740740741</v>
      </c>
    </row>
    <row r="103" spans="1:6" x14ac:dyDescent="0.35">
      <c r="A103" s="2">
        <v>102</v>
      </c>
      <c r="B103" s="2" t="s">
        <v>8</v>
      </c>
      <c r="C103" s="3">
        <v>0.64584490740740741</v>
      </c>
      <c r="D103" s="3">
        <v>0.6459259259259259</v>
      </c>
      <c r="E103" s="3">
        <v>0.64612268518518523</v>
      </c>
      <c r="F103" s="3">
        <v>0.64628472222222222</v>
      </c>
    </row>
    <row r="104" spans="1:6" x14ac:dyDescent="0.35">
      <c r="A104" s="2">
        <v>103</v>
      </c>
      <c r="B104" s="2" t="s">
        <v>8</v>
      </c>
      <c r="C104" s="3">
        <v>0.64628472222222222</v>
      </c>
      <c r="D104" s="3">
        <v>0.64635416666666667</v>
      </c>
      <c r="E104" s="3">
        <v>0.64656250000000004</v>
      </c>
      <c r="F104" s="3">
        <v>0.64692129629629624</v>
      </c>
    </row>
    <row r="105" spans="1:6" x14ac:dyDescent="0.35">
      <c r="A105" s="2">
        <v>104</v>
      </c>
      <c r="B105" s="5" t="s">
        <v>7</v>
      </c>
      <c r="C105" s="3">
        <v>0.64692129629629624</v>
      </c>
      <c r="D105" s="3">
        <v>0.64697916666666666</v>
      </c>
      <c r="E105" s="3">
        <v>0.64723379629629629</v>
      </c>
      <c r="F105" s="6">
        <v>0.64732638888888894</v>
      </c>
    </row>
    <row r="106" spans="1:6" x14ac:dyDescent="0.35">
      <c r="A106" s="2">
        <v>105</v>
      </c>
      <c r="B106" s="2" t="s">
        <v>6</v>
      </c>
      <c r="C106" s="3">
        <v>0.64959490740740744</v>
      </c>
      <c r="D106" s="3">
        <v>0.64968749999999997</v>
      </c>
      <c r="E106" s="3">
        <v>0.64984953703703707</v>
      </c>
      <c r="F106" s="3">
        <v>0.65003472222222225</v>
      </c>
    </row>
    <row r="107" spans="1:6" x14ac:dyDescent="0.35">
      <c r="A107" s="2">
        <v>106</v>
      </c>
      <c r="B107" s="2" t="s">
        <v>7</v>
      </c>
      <c r="C107" s="3">
        <v>0.65003472222222225</v>
      </c>
      <c r="D107" s="3">
        <v>0.6502430555555555</v>
      </c>
      <c r="E107" s="3">
        <v>0.65045138888888887</v>
      </c>
      <c r="F107" s="3">
        <v>0.65061342592592597</v>
      </c>
    </row>
    <row r="108" spans="1:6" x14ac:dyDescent="0.35">
      <c r="A108" s="2">
        <v>107</v>
      </c>
      <c r="B108" s="2" t="s">
        <v>8</v>
      </c>
      <c r="C108" s="3">
        <v>0.65061342592592597</v>
      </c>
      <c r="D108" s="3">
        <v>0.65072916666666669</v>
      </c>
      <c r="E108" s="3">
        <v>0.6508680555555556</v>
      </c>
      <c r="F108" s="3">
        <v>0.65103009259259259</v>
      </c>
    </row>
    <row r="109" spans="1:6" x14ac:dyDescent="0.35">
      <c r="A109" s="2">
        <v>108</v>
      </c>
      <c r="B109" s="2" t="s">
        <v>8</v>
      </c>
      <c r="C109" s="3">
        <v>0.65103009259259259</v>
      </c>
      <c r="D109" s="3">
        <v>0.65109953703703705</v>
      </c>
      <c r="E109" s="3">
        <v>0.65128472222222222</v>
      </c>
      <c r="F109" s="3">
        <v>0.65140046296296295</v>
      </c>
    </row>
    <row r="110" spans="1:6" x14ac:dyDescent="0.35">
      <c r="A110" s="2">
        <v>109</v>
      </c>
      <c r="B110" s="2" t="s">
        <v>8</v>
      </c>
      <c r="C110" s="3">
        <v>0.65140046296296295</v>
      </c>
      <c r="D110" s="3">
        <v>0.65149305555555559</v>
      </c>
      <c r="E110" s="3">
        <v>0.65165509259259258</v>
      </c>
      <c r="F110" s="3">
        <v>0.65181712962962968</v>
      </c>
    </row>
    <row r="111" spans="1:6" x14ac:dyDescent="0.35">
      <c r="A111" s="2">
        <v>110</v>
      </c>
      <c r="B111" s="2" t="s">
        <v>8</v>
      </c>
      <c r="C111" s="3">
        <v>0.65181712962962968</v>
      </c>
      <c r="D111" s="3">
        <v>0.65190972222222221</v>
      </c>
      <c r="E111" s="3">
        <v>0.65207175925925931</v>
      </c>
      <c r="F111" s="3">
        <v>0.6522337962962963</v>
      </c>
    </row>
    <row r="112" spans="1:6" x14ac:dyDescent="0.35">
      <c r="A112" s="2">
        <v>111</v>
      </c>
      <c r="B112" s="2" t="s">
        <v>8</v>
      </c>
      <c r="C112" s="3">
        <v>0.6522337962962963</v>
      </c>
      <c r="D112" s="3">
        <v>0.65232638888888894</v>
      </c>
      <c r="E112" s="3">
        <v>0.65248842592592593</v>
      </c>
      <c r="F112" s="3">
        <v>0.65265046296296292</v>
      </c>
    </row>
    <row r="113" spans="1:6" x14ac:dyDescent="0.35">
      <c r="A113" s="2">
        <v>112</v>
      </c>
      <c r="B113" s="2" t="s">
        <v>8</v>
      </c>
      <c r="C113" s="3">
        <v>0.65265046296296292</v>
      </c>
      <c r="D113" s="3">
        <v>0.65274305555555556</v>
      </c>
      <c r="E113" s="3">
        <v>0.65290509259259255</v>
      </c>
      <c r="F113" s="3">
        <v>0.65306712962962965</v>
      </c>
    </row>
    <row r="114" spans="1:6" x14ac:dyDescent="0.35">
      <c r="A114" s="2">
        <v>113</v>
      </c>
      <c r="B114" s="2" t="s">
        <v>8</v>
      </c>
      <c r="C114" s="3">
        <v>0.65306712962962965</v>
      </c>
      <c r="D114" s="3">
        <v>0.65315972222222218</v>
      </c>
      <c r="E114" s="3">
        <v>0.65334490740740736</v>
      </c>
      <c r="F114" s="3">
        <v>0.65350694444444446</v>
      </c>
    </row>
    <row r="115" spans="1:6" x14ac:dyDescent="0.35">
      <c r="A115" s="2">
        <v>114</v>
      </c>
      <c r="B115" s="2" t="s">
        <v>8</v>
      </c>
      <c r="C115" s="3">
        <v>0.65350694444444446</v>
      </c>
      <c r="D115" s="3">
        <v>0.65359953703703699</v>
      </c>
      <c r="E115" s="3">
        <v>0.65376157407407409</v>
      </c>
      <c r="F115" s="3">
        <v>0.65394675925925927</v>
      </c>
    </row>
    <row r="116" spans="1:6" x14ac:dyDescent="0.35">
      <c r="A116" s="2">
        <v>115</v>
      </c>
      <c r="B116" s="2" t="s">
        <v>8</v>
      </c>
      <c r="C116" s="3">
        <v>0.65394675925925927</v>
      </c>
      <c r="D116" s="3">
        <v>0.65401620370370372</v>
      </c>
      <c r="E116" s="3">
        <v>0.65417824074074071</v>
      </c>
      <c r="F116" s="3">
        <v>0.65436342592592589</v>
      </c>
    </row>
    <row r="117" spans="1:6" x14ac:dyDescent="0.35">
      <c r="A117" s="2">
        <v>116</v>
      </c>
      <c r="B117" s="2" t="s">
        <v>8</v>
      </c>
      <c r="C117" s="3">
        <v>0.65436342592592589</v>
      </c>
      <c r="D117" s="3">
        <v>0.65445601851851853</v>
      </c>
      <c r="E117" s="3">
        <v>0.65464120370370371</v>
      </c>
      <c r="F117" s="3">
        <v>0.65495370370370365</v>
      </c>
    </row>
    <row r="118" spans="1:6" x14ac:dyDescent="0.35">
      <c r="A118" s="2">
        <v>117</v>
      </c>
      <c r="B118" s="2" t="s">
        <v>8</v>
      </c>
      <c r="C118" s="3">
        <v>0.65495370370370365</v>
      </c>
      <c r="D118" s="3">
        <v>0.65505787037037033</v>
      </c>
      <c r="E118" s="3">
        <v>0.65524305555555551</v>
      </c>
      <c r="F118" s="3">
        <v>0.65559027777777779</v>
      </c>
    </row>
    <row r="119" spans="1:6" x14ac:dyDescent="0.35">
      <c r="A119" s="2">
        <v>118</v>
      </c>
      <c r="B119" s="2" t="s">
        <v>8</v>
      </c>
      <c r="C119" s="3">
        <v>0.65559027777777779</v>
      </c>
      <c r="D119" s="3">
        <v>0.65568287037037032</v>
      </c>
      <c r="E119" s="3">
        <v>0.65586805555555561</v>
      </c>
      <c r="F119" s="3">
        <v>0.65605324074074078</v>
      </c>
    </row>
    <row r="120" spans="1:6" x14ac:dyDescent="0.35">
      <c r="A120" s="2">
        <v>119</v>
      </c>
      <c r="B120" s="2" t="s">
        <v>8</v>
      </c>
      <c r="C120" s="3">
        <v>0.65605324074074078</v>
      </c>
      <c r="D120" s="3">
        <v>0.65616898148148151</v>
      </c>
      <c r="E120" s="3">
        <v>0.65635416666666668</v>
      </c>
      <c r="F120" s="3">
        <v>0.65653935185185186</v>
      </c>
    </row>
    <row r="121" spans="1:6" x14ac:dyDescent="0.35">
      <c r="A121" s="2">
        <v>120</v>
      </c>
      <c r="B121" s="2" t="s">
        <v>8</v>
      </c>
      <c r="C121" s="3">
        <v>0.65653935185185186</v>
      </c>
      <c r="D121" s="3">
        <v>0.65663194444444439</v>
      </c>
      <c r="E121" s="3">
        <v>0.65681712962962968</v>
      </c>
      <c r="F121" s="3">
        <v>0.65719907407407407</v>
      </c>
    </row>
    <row r="122" spans="1:6" x14ac:dyDescent="0.35">
      <c r="A122" s="2">
        <v>121</v>
      </c>
      <c r="B122" s="5" t="s">
        <v>5</v>
      </c>
      <c r="C122" s="3">
        <v>0.65719907407407407</v>
      </c>
      <c r="D122" s="3">
        <v>0.65728009259259257</v>
      </c>
      <c r="E122" s="3">
        <v>0.65755787037037039</v>
      </c>
      <c r="F122" s="6">
        <v>0.65767361111111111</v>
      </c>
    </row>
    <row r="123" spans="1:6" x14ac:dyDescent="0.35">
      <c r="A123" s="2">
        <v>122</v>
      </c>
      <c r="B123" s="5" t="s">
        <v>5</v>
      </c>
      <c r="C123" s="3">
        <v>0.65929398148148144</v>
      </c>
      <c r="D123" s="6">
        <v>0.65938657407407408</v>
      </c>
      <c r="E123" s="3">
        <v>0.65952546296296299</v>
      </c>
      <c r="F123" s="3">
        <v>0.65971064814814817</v>
      </c>
    </row>
    <row r="124" spans="1:6" x14ac:dyDescent="0.35">
      <c r="A124" s="2">
        <v>123</v>
      </c>
      <c r="B124" s="2" t="s">
        <v>8</v>
      </c>
      <c r="C124" s="3">
        <v>0.65971064814814817</v>
      </c>
      <c r="D124" s="3">
        <v>0.65978009259259263</v>
      </c>
      <c r="E124" s="3">
        <v>0.65994212962962961</v>
      </c>
      <c r="F124" s="3">
        <v>0.66011574074074075</v>
      </c>
    </row>
    <row r="125" spans="1:6" x14ac:dyDescent="0.35">
      <c r="A125" s="2">
        <v>124</v>
      </c>
      <c r="B125" s="2" t="s">
        <v>8</v>
      </c>
      <c r="C125" s="3">
        <v>0.66011574074074075</v>
      </c>
      <c r="D125" s="3">
        <v>0.66028935185185189</v>
      </c>
      <c r="E125" s="3">
        <v>0.66042824074074069</v>
      </c>
      <c r="F125" s="3">
        <v>0.66059027777777779</v>
      </c>
    </row>
    <row r="126" spans="1:6" x14ac:dyDescent="0.35">
      <c r="A126" s="2">
        <v>125</v>
      </c>
      <c r="B126" s="2" t="s">
        <v>8</v>
      </c>
      <c r="C126" s="3">
        <v>0.66059027777777779</v>
      </c>
      <c r="D126" s="3">
        <v>0.66067129629629628</v>
      </c>
      <c r="E126" s="3">
        <v>0.66082175925925923</v>
      </c>
      <c r="F126" s="3">
        <v>0.66096064814814814</v>
      </c>
    </row>
    <row r="127" spans="1:6" x14ac:dyDescent="0.35">
      <c r="A127" s="2">
        <v>126</v>
      </c>
      <c r="B127" s="2" t="s">
        <v>8</v>
      </c>
      <c r="C127" s="3">
        <v>0.66096064814814814</v>
      </c>
      <c r="D127" s="3">
        <v>0.66105324074074079</v>
      </c>
      <c r="E127" s="3">
        <v>0.66119212962962959</v>
      </c>
      <c r="F127" s="3">
        <v>0.66134259259259254</v>
      </c>
    </row>
    <row r="128" spans="1:6" x14ac:dyDescent="0.35">
      <c r="A128" s="2">
        <v>127</v>
      </c>
      <c r="B128" s="2" t="s">
        <v>8</v>
      </c>
      <c r="C128" s="3">
        <v>0.66134259259259254</v>
      </c>
      <c r="D128" s="3">
        <v>0.66143518518518518</v>
      </c>
      <c r="E128" s="3">
        <v>0.66156250000000005</v>
      </c>
      <c r="F128" s="3">
        <v>0.66172453703703704</v>
      </c>
    </row>
    <row r="129" spans="1:6" x14ac:dyDescent="0.35">
      <c r="A129" s="2">
        <v>128</v>
      </c>
      <c r="B129" s="2" t="s">
        <v>8</v>
      </c>
      <c r="C129" s="3">
        <v>0.66172453703703704</v>
      </c>
      <c r="D129" s="3">
        <v>0.66182870370370372</v>
      </c>
      <c r="E129" s="3">
        <v>0.66195601851851849</v>
      </c>
      <c r="F129" s="3">
        <v>0.66208333333333336</v>
      </c>
    </row>
    <row r="130" spans="1:6" x14ac:dyDescent="0.35">
      <c r="A130" s="2">
        <v>129</v>
      </c>
      <c r="B130" s="2" t="s">
        <v>8</v>
      </c>
      <c r="C130" s="3">
        <v>0.66208333333333336</v>
      </c>
      <c r="D130" s="3">
        <v>0.66218750000000004</v>
      </c>
      <c r="E130" s="3">
        <v>0.66230324074074076</v>
      </c>
      <c r="F130" s="3">
        <v>0.66245370370370371</v>
      </c>
    </row>
    <row r="131" spans="1:6" x14ac:dyDescent="0.35">
      <c r="A131" s="2">
        <v>130</v>
      </c>
      <c r="B131" s="2" t="s">
        <v>8</v>
      </c>
      <c r="C131" s="3">
        <v>0.66245370370370371</v>
      </c>
      <c r="D131" s="3">
        <v>0.66258101851851847</v>
      </c>
      <c r="E131" s="3">
        <v>0.66267361111111112</v>
      </c>
      <c r="F131" s="3">
        <v>0.66282407407407407</v>
      </c>
    </row>
    <row r="132" spans="1:6" x14ac:dyDescent="0.35">
      <c r="A132" s="2">
        <v>131</v>
      </c>
      <c r="B132" s="2" t="s">
        <v>8</v>
      </c>
      <c r="C132" s="3">
        <v>0.66282407407407407</v>
      </c>
      <c r="D132" s="3">
        <v>0.66292824074074075</v>
      </c>
      <c r="E132" s="3">
        <v>0.66302083333333328</v>
      </c>
      <c r="F132" s="3">
        <v>0.66314814814814815</v>
      </c>
    </row>
    <row r="133" spans="1:6" x14ac:dyDescent="0.35">
      <c r="A133" s="2">
        <v>132</v>
      </c>
      <c r="B133" s="2" t="s">
        <v>8</v>
      </c>
      <c r="C133" s="3">
        <v>0.66314814814814815</v>
      </c>
      <c r="D133" s="3">
        <v>0.66327546296296291</v>
      </c>
      <c r="E133" s="3">
        <v>0.66336805555555556</v>
      </c>
      <c r="F133" s="3">
        <v>0.66349537037037032</v>
      </c>
    </row>
    <row r="134" spans="1:6" x14ac:dyDescent="0.35">
      <c r="A134" s="2">
        <v>133</v>
      </c>
      <c r="B134" s="2" t="s">
        <v>8</v>
      </c>
      <c r="C134" s="3">
        <v>0.66349537037037032</v>
      </c>
      <c r="D134" s="3">
        <v>0.66363425925925923</v>
      </c>
      <c r="E134" s="3">
        <v>0.66371527777777772</v>
      </c>
      <c r="F134" s="3">
        <v>0.66385416666666663</v>
      </c>
    </row>
    <row r="135" spans="1:6" x14ac:dyDescent="0.35">
      <c r="A135" s="2">
        <v>134</v>
      </c>
      <c r="B135" s="2" t="s">
        <v>8</v>
      </c>
      <c r="C135" s="3">
        <v>0.66385416666666663</v>
      </c>
      <c r="D135" s="3">
        <v>0.66396990740740736</v>
      </c>
      <c r="E135" s="3">
        <v>0.6640625</v>
      </c>
      <c r="F135" s="3">
        <v>0.6642824074074074</v>
      </c>
    </row>
    <row r="136" spans="1:6" x14ac:dyDescent="0.35">
      <c r="A136" s="2">
        <v>135</v>
      </c>
      <c r="B136" s="2" t="s">
        <v>8</v>
      </c>
      <c r="C136" s="3">
        <v>0.6642824074074074</v>
      </c>
      <c r="D136" s="3">
        <v>0.66438657407407409</v>
      </c>
      <c r="E136" s="3">
        <v>0.66447916666666662</v>
      </c>
      <c r="F136" s="3">
        <v>0.66460648148148149</v>
      </c>
    </row>
    <row r="137" spans="1:6" x14ac:dyDescent="0.35">
      <c r="A137" s="2">
        <v>136</v>
      </c>
      <c r="B137" s="2" t="s">
        <v>8</v>
      </c>
      <c r="C137" s="3">
        <v>0.66460648148148149</v>
      </c>
      <c r="D137" s="3">
        <v>0.66475694444444444</v>
      </c>
      <c r="E137" s="3">
        <v>0.66484953703703709</v>
      </c>
      <c r="F137" s="6">
        <v>0.66491898148148143</v>
      </c>
    </row>
    <row r="138" spans="1:6" x14ac:dyDescent="0.35">
      <c r="A138" s="2">
        <v>137</v>
      </c>
      <c r="B138" s="2" t="s">
        <v>8</v>
      </c>
      <c r="C138" s="6">
        <v>0.66491898148148143</v>
      </c>
      <c r="D138" s="3">
        <v>0.66511574074074076</v>
      </c>
      <c r="E138" s="3">
        <v>0.66519675925925925</v>
      </c>
      <c r="F138" s="6">
        <v>0.66531249999999997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5CDB-664E-4BA1-92EE-B6648E98C926}">
  <dimension ref="A1:E143"/>
  <sheetViews>
    <sheetView zoomScale="175" zoomScaleNormal="175" workbookViewId="0">
      <selection activeCell="E150" sqref="E150"/>
    </sheetView>
  </sheetViews>
  <sheetFormatPr defaultRowHeight="14.5" x14ac:dyDescent="0.35"/>
  <cols>
    <col min="2" max="2" width="14.54296875" customWidth="1"/>
    <col min="4" max="4" width="10.54296875" bestFit="1" customWidth="1"/>
  </cols>
  <sheetData>
    <row r="1" spans="1:5" x14ac:dyDescent="0.35">
      <c r="A1" s="1" t="s">
        <v>0</v>
      </c>
      <c r="B1" s="1" t="s">
        <v>10</v>
      </c>
      <c r="C1" s="1" t="s">
        <v>2</v>
      </c>
      <c r="D1" s="1" t="s">
        <v>5</v>
      </c>
      <c r="E1" s="2" t="s">
        <v>9</v>
      </c>
    </row>
    <row r="2" spans="1:5" x14ac:dyDescent="0.35">
      <c r="A2" s="2">
        <v>137</v>
      </c>
      <c r="B2" t="s">
        <v>155</v>
      </c>
      <c r="C2" s="8" t="s">
        <v>320</v>
      </c>
      <c r="D2" s="8" t="s">
        <v>321</v>
      </c>
    </row>
    <row r="3" spans="1:5" x14ac:dyDescent="0.35">
      <c r="A3" s="2">
        <v>138</v>
      </c>
      <c r="B3" t="s">
        <v>156</v>
      </c>
      <c r="C3" s="8"/>
      <c r="D3" s="8" t="s">
        <v>322</v>
      </c>
    </row>
    <row r="4" spans="1:5" x14ac:dyDescent="0.35">
      <c r="A4" s="2">
        <v>139</v>
      </c>
      <c r="B4" t="s">
        <v>157</v>
      </c>
      <c r="C4" s="8"/>
      <c r="D4" s="8" t="s">
        <v>323</v>
      </c>
    </row>
    <row r="5" spans="1:5" x14ac:dyDescent="0.35">
      <c r="A5" s="2">
        <v>140</v>
      </c>
      <c r="B5" t="s">
        <v>158</v>
      </c>
      <c r="C5" s="8"/>
      <c r="D5" s="8" t="s">
        <v>324</v>
      </c>
    </row>
    <row r="6" spans="1:5" x14ac:dyDescent="0.35">
      <c r="A6" s="2">
        <v>141</v>
      </c>
      <c r="B6" t="s">
        <v>159</v>
      </c>
      <c r="C6" s="8"/>
      <c r="D6" s="8" t="s">
        <v>325</v>
      </c>
    </row>
    <row r="7" spans="1:5" x14ac:dyDescent="0.35">
      <c r="A7" s="2">
        <v>142</v>
      </c>
      <c r="B7" t="s">
        <v>160</v>
      </c>
      <c r="C7" s="8"/>
      <c r="D7" s="8" t="s">
        <v>326</v>
      </c>
    </row>
    <row r="8" spans="1:5" x14ac:dyDescent="0.35">
      <c r="A8" s="2">
        <v>143</v>
      </c>
      <c r="B8" t="s">
        <v>161</v>
      </c>
      <c r="C8" s="8"/>
      <c r="D8" s="8" t="s">
        <v>327</v>
      </c>
    </row>
    <row r="9" spans="1:5" x14ac:dyDescent="0.35">
      <c r="A9" s="2">
        <v>144</v>
      </c>
      <c r="B9" t="s">
        <v>162</v>
      </c>
      <c r="C9" s="8"/>
      <c r="D9" s="8" t="s">
        <v>328</v>
      </c>
    </row>
    <row r="10" spans="1:5" x14ac:dyDescent="0.35">
      <c r="A10" s="2">
        <v>145</v>
      </c>
      <c r="B10" t="s">
        <v>163</v>
      </c>
      <c r="C10" s="8"/>
      <c r="D10" s="8" t="s">
        <v>329</v>
      </c>
    </row>
    <row r="11" spans="1:5" x14ac:dyDescent="0.35">
      <c r="A11" s="2">
        <v>146</v>
      </c>
      <c r="B11" t="s">
        <v>164</v>
      </c>
      <c r="C11" s="8"/>
      <c r="D11" s="8" t="s">
        <v>330</v>
      </c>
    </row>
    <row r="12" spans="1:5" x14ac:dyDescent="0.35">
      <c r="A12" s="2">
        <v>147</v>
      </c>
      <c r="B12" t="s">
        <v>165</v>
      </c>
      <c r="C12" s="8" t="s">
        <v>331</v>
      </c>
      <c r="D12" s="8" t="s">
        <v>332</v>
      </c>
    </row>
    <row r="13" spans="1:5" x14ac:dyDescent="0.35">
      <c r="A13" s="2">
        <v>148</v>
      </c>
      <c r="B13" t="s">
        <v>166</v>
      </c>
      <c r="C13" s="8"/>
      <c r="D13" s="8" t="s">
        <v>333</v>
      </c>
    </row>
    <row r="14" spans="1:5" x14ac:dyDescent="0.35">
      <c r="A14" s="2">
        <v>149</v>
      </c>
      <c r="B14" t="s">
        <v>167</v>
      </c>
      <c r="C14" s="8"/>
      <c r="D14" s="8" t="s">
        <v>334</v>
      </c>
    </row>
    <row r="15" spans="1:5" x14ac:dyDescent="0.35">
      <c r="A15" s="2">
        <v>150</v>
      </c>
      <c r="B15" t="s">
        <v>168</v>
      </c>
      <c r="C15" s="8"/>
      <c r="D15" s="8" t="s">
        <v>335</v>
      </c>
    </row>
    <row r="16" spans="1:5" x14ac:dyDescent="0.35">
      <c r="A16" s="2">
        <v>151</v>
      </c>
      <c r="B16" t="s">
        <v>169</v>
      </c>
      <c r="C16" s="8"/>
      <c r="D16" s="8" t="s">
        <v>336</v>
      </c>
    </row>
    <row r="17" spans="1:5" x14ac:dyDescent="0.35">
      <c r="A17" s="2">
        <v>152</v>
      </c>
      <c r="B17" t="s">
        <v>170</v>
      </c>
      <c r="C17" s="8"/>
      <c r="D17" s="8" t="s">
        <v>337</v>
      </c>
    </row>
    <row r="18" spans="1:5" x14ac:dyDescent="0.35">
      <c r="A18" s="2">
        <v>153</v>
      </c>
      <c r="B18" t="s">
        <v>171</v>
      </c>
      <c r="C18" s="8"/>
      <c r="D18" s="8" t="s">
        <v>338</v>
      </c>
    </row>
    <row r="19" spans="1:5" x14ac:dyDescent="0.35">
      <c r="A19" s="2">
        <v>154</v>
      </c>
      <c r="B19" t="s">
        <v>172</v>
      </c>
      <c r="C19" s="8"/>
      <c r="D19" s="8" t="s">
        <v>339</v>
      </c>
    </row>
    <row r="20" spans="1:5" x14ac:dyDescent="0.35">
      <c r="A20" s="2">
        <v>155</v>
      </c>
      <c r="B20" t="s">
        <v>173</v>
      </c>
      <c r="C20" s="8"/>
      <c r="D20" s="8" t="s">
        <v>340</v>
      </c>
    </row>
    <row r="21" spans="1:5" x14ac:dyDescent="0.35">
      <c r="A21" s="2">
        <v>156</v>
      </c>
      <c r="B21" t="s">
        <v>174</v>
      </c>
      <c r="C21" s="8"/>
      <c r="D21" s="8" t="s">
        <v>341</v>
      </c>
    </row>
    <row r="22" spans="1:5" x14ac:dyDescent="0.35">
      <c r="A22" s="2">
        <v>157</v>
      </c>
      <c r="B22" t="s">
        <v>175</v>
      </c>
      <c r="C22" s="8"/>
      <c r="D22" s="8" t="s">
        <v>342</v>
      </c>
      <c r="E22" t="s">
        <v>343</v>
      </c>
    </row>
    <row r="23" spans="1:5" x14ac:dyDescent="0.35">
      <c r="A23" s="2">
        <v>158</v>
      </c>
      <c r="B23" t="s">
        <v>176</v>
      </c>
      <c r="C23" s="8"/>
      <c r="D23" s="8" t="s">
        <v>344</v>
      </c>
    </row>
    <row r="24" spans="1:5" x14ac:dyDescent="0.35">
      <c r="A24" s="2">
        <v>159</v>
      </c>
      <c r="B24" t="s">
        <v>177</v>
      </c>
      <c r="C24" s="8"/>
      <c r="D24" s="8" t="s">
        <v>345</v>
      </c>
    </row>
    <row r="25" spans="1:5" x14ac:dyDescent="0.35">
      <c r="A25" s="2">
        <v>160</v>
      </c>
      <c r="B25" t="s">
        <v>178</v>
      </c>
      <c r="C25" s="8"/>
      <c r="D25" s="8" t="s">
        <v>346</v>
      </c>
    </row>
    <row r="26" spans="1:5" x14ac:dyDescent="0.35">
      <c r="A26" s="2">
        <v>161</v>
      </c>
      <c r="B26" t="s">
        <v>179</v>
      </c>
      <c r="C26" s="8"/>
      <c r="D26" s="8" t="s">
        <v>347</v>
      </c>
    </row>
    <row r="27" spans="1:5" x14ac:dyDescent="0.35">
      <c r="A27" s="2">
        <v>162</v>
      </c>
      <c r="B27" t="s">
        <v>180</v>
      </c>
      <c r="C27" s="8" t="s">
        <v>348</v>
      </c>
      <c r="D27" s="8" t="s">
        <v>349</v>
      </c>
    </row>
    <row r="28" spans="1:5" x14ac:dyDescent="0.35">
      <c r="A28" s="2">
        <v>163</v>
      </c>
      <c r="B28" t="s">
        <v>181</v>
      </c>
      <c r="C28" s="8"/>
      <c r="D28" s="8" t="s">
        <v>350</v>
      </c>
    </row>
    <row r="29" spans="1:5" x14ac:dyDescent="0.35">
      <c r="A29" s="2">
        <v>164</v>
      </c>
      <c r="B29" t="s">
        <v>182</v>
      </c>
      <c r="C29" s="8"/>
      <c r="D29" s="8" t="s">
        <v>351</v>
      </c>
    </row>
    <row r="30" spans="1:5" x14ac:dyDescent="0.35">
      <c r="A30" s="2">
        <v>165</v>
      </c>
      <c r="B30" t="s">
        <v>183</v>
      </c>
      <c r="C30" s="8"/>
      <c r="D30" s="8" t="s">
        <v>352</v>
      </c>
    </row>
    <row r="31" spans="1:5" x14ac:dyDescent="0.35">
      <c r="A31" s="2">
        <v>166</v>
      </c>
      <c r="B31" t="s">
        <v>184</v>
      </c>
      <c r="C31" s="8"/>
      <c r="D31" s="8" t="s">
        <v>353</v>
      </c>
    </row>
    <row r="32" spans="1:5" x14ac:dyDescent="0.35">
      <c r="A32" s="2">
        <v>167</v>
      </c>
      <c r="B32" t="s">
        <v>185</v>
      </c>
      <c r="C32" s="8"/>
      <c r="D32" s="8" t="s">
        <v>354</v>
      </c>
    </row>
    <row r="33" spans="1:5" x14ac:dyDescent="0.35">
      <c r="A33" s="2">
        <v>168</v>
      </c>
      <c r="B33" t="s">
        <v>186</v>
      </c>
      <c r="C33" s="8"/>
      <c r="D33" s="8" t="s">
        <v>355</v>
      </c>
    </row>
    <row r="34" spans="1:5" x14ac:dyDescent="0.35">
      <c r="A34" s="2">
        <v>169</v>
      </c>
      <c r="B34" t="s">
        <v>187</v>
      </c>
      <c r="C34" s="8"/>
      <c r="D34" s="8" t="s">
        <v>356</v>
      </c>
    </row>
    <row r="35" spans="1:5" x14ac:dyDescent="0.35">
      <c r="A35" s="2">
        <v>170</v>
      </c>
      <c r="B35" t="s">
        <v>188</v>
      </c>
      <c r="C35" s="8"/>
      <c r="D35" s="8" t="s">
        <v>357</v>
      </c>
    </row>
    <row r="36" spans="1:5" x14ac:dyDescent="0.35">
      <c r="A36" s="2">
        <v>171</v>
      </c>
      <c r="B36" t="s">
        <v>189</v>
      </c>
      <c r="C36" s="8"/>
      <c r="D36" s="8" t="s">
        <v>358</v>
      </c>
    </row>
    <row r="37" spans="1:5" x14ac:dyDescent="0.35">
      <c r="A37" s="2">
        <v>172</v>
      </c>
      <c r="B37" t="s">
        <v>190</v>
      </c>
      <c r="C37" s="8"/>
      <c r="D37" s="8" t="s">
        <v>359</v>
      </c>
    </row>
    <row r="38" spans="1:5" x14ac:dyDescent="0.35">
      <c r="A38" s="2">
        <v>173</v>
      </c>
      <c r="B38" t="s">
        <v>191</v>
      </c>
      <c r="C38" s="8"/>
      <c r="D38" s="8" t="s">
        <v>361</v>
      </c>
      <c r="E38" t="s">
        <v>360</v>
      </c>
    </row>
    <row r="39" spans="1:5" x14ac:dyDescent="0.35">
      <c r="A39" s="2">
        <v>174</v>
      </c>
      <c r="B39" t="s">
        <v>192</v>
      </c>
      <c r="C39" s="8"/>
      <c r="D39" s="8" t="s">
        <v>362</v>
      </c>
    </row>
    <row r="40" spans="1:5" x14ac:dyDescent="0.35">
      <c r="A40" s="2">
        <v>175</v>
      </c>
      <c r="B40" t="s">
        <v>193</v>
      </c>
      <c r="C40" s="8"/>
      <c r="D40" s="8" t="s">
        <v>363</v>
      </c>
      <c r="E40" t="s">
        <v>364</v>
      </c>
    </row>
    <row r="41" spans="1:5" x14ac:dyDescent="0.35">
      <c r="A41" s="2">
        <v>176</v>
      </c>
      <c r="B41" t="s">
        <v>194</v>
      </c>
      <c r="C41" s="8"/>
      <c r="D41" s="8" t="s">
        <v>363</v>
      </c>
    </row>
    <row r="42" spans="1:5" x14ac:dyDescent="0.35">
      <c r="A42" s="2">
        <v>177</v>
      </c>
      <c r="B42" t="s">
        <v>195</v>
      </c>
      <c r="C42" s="8"/>
      <c r="D42" s="8" t="s">
        <v>363</v>
      </c>
    </row>
    <row r="43" spans="1:5" x14ac:dyDescent="0.35">
      <c r="A43" s="2">
        <v>178</v>
      </c>
      <c r="B43" t="s">
        <v>196</v>
      </c>
      <c r="C43" s="8"/>
      <c r="D43" s="8" t="s">
        <v>363</v>
      </c>
    </row>
    <row r="44" spans="1:5" x14ac:dyDescent="0.35">
      <c r="A44" s="2">
        <v>179</v>
      </c>
      <c r="B44" t="s">
        <v>197</v>
      </c>
      <c r="C44" s="8" t="s">
        <v>365</v>
      </c>
      <c r="D44" s="8" t="s">
        <v>366</v>
      </c>
    </row>
    <row r="45" spans="1:5" x14ac:dyDescent="0.35">
      <c r="A45" s="2">
        <v>180</v>
      </c>
      <c r="B45" t="s">
        <v>198</v>
      </c>
      <c r="C45" s="8"/>
      <c r="D45" s="8" t="s">
        <v>367</v>
      </c>
    </row>
    <row r="46" spans="1:5" x14ac:dyDescent="0.35">
      <c r="A46" s="2">
        <v>181</v>
      </c>
      <c r="B46" t="s">
        <v>200</v>
      </c>
      <c r="C46" s="8"/>
      <c r="D46" s="8" t="s">
        <v>368</v>
      </c>
    </row>
    <row r="47" spans="1:5" x14ac:dyDescent="0.35">
      <c r="A47" s="2">
        <v>182</v>
      </c>
      <c r="B47" t="s">
        <v>202</v>
      </c>
      <c r="C47" s="8"/>
      <c r="D47" s="8" t="s">
        <v>369</v>
      </c>
    </row>
    <row r="48" spans="1:5" x14ac:dyDescent="0.35">
      <c r="A48" s="2">
        <v>183</v>
      </c>
      <c r="B48" t="s">
        <v>203</v>
      </c>
      <c r="C48" s="8"/>
      <c r="D48" s="8" t="s">
        <v>370</v>
      </c>
    </row>
    <row r="49" spans="1:5" x14ac:dyDescent="0.35">
      <c r="A49" s="2">
        <v>184</v>
      </c>
      <c r="B49" t="s">
        <v>204</v>
      </c>
      <c r="C49" s="8"/>
      <c r="D49" s="8" t="s">
        <v>371</v>
      </c>
    </row>
    <row r="50" spans="1:5" x14ac:dyDescent="0.35">
      <c r="A50" s="2">
        <v>185</v>
      </c>
      <c r="B50" t="s">
        <v>205</v>
      </c>
      <c r="C50" s="8"/>
      <c r="D50" s="8" t="s">
        <v>372</v>
      </c>
    </row>
    <row r="51" spans="1:5" x14ac:dyDescent="0.35">
      <c r="A51" s="2">
        <v>186</v>
      </c>
      <c r="B51" t="s">
        <v>206</v>
      </c>
      <c r="C51" s="8"/>
      <c r="D51" s="8" t="s">
        <v>373</v>
      </c>
    </row>
    <row r="52" spans="1:5" x14ac:dyDescent="0.35">
      <c r="A52" s="2">
        <v>187</v>
      </c>
      <c r="B52" t="s">
        <v>207</v>
      </c>
      <c r="C52" s="8" t="s">
        <v>374</v>
      </c>
      <c r="D52" s="8" t="s">
        <v>375</v>
      </c>
      <c r="E52" t="s">
        <v>343</v>
      </c>
    </row>
    <row r="53" spans="1:5" x14ac:dyDescent="0.35">
      <c r="A53" s="2">
        <v>188</v>
      </c>
      <c r="B53" t="s">
        <v>208</v>
      </c>
      <c r="C53" s="8"/>
      <c r="D53" s="8" t="s">
        <v>376</v>
      </c>
    </row>
    <row r="54" spans="1:5" x14ac:dyDescent="0.35">
      <c r="A54" s="2">
        <v>189</v>
      </c>
      <c r="B54" t="s">
        <v>209</v>
      </c>
      <c r="C54" s="8"/>
      <c r="D54" s="8" t="s">
        <v>377</v>
      </c>
    </row>
    <row r="55" spans="1:5" x14ac:dyDescent="0.35">
      <c r="A55" s="2">
        <v>190</v>
      </c>
      <c r="B55" t="s">
        <v>210</v>
      </c>
      <c r="C55" s="8"/>
      <c r="D55" s="8" t="s">
        <v>378</v>
      </c>
    </row>
    <row r="56" spans="1:5" x14ac:dyDescent="0.35">
      <c r="A56" s="2">
        <v>191</v>
      </c>
      <c r="B56" t="s">
        <v>211</v>
      </c>
      <c r="C56" s="8"/>
      <c r="D56" s="8" t="s">
        <v>379</v>
      </c>
    </row>
    <row r="57" spans="1:5" x14ac:dyDescent="0.35">
      <c r="A57" s="2">
        <v>192</v>
      </c>
      <c r="B57" t="s">
        <v>212</v>
      </c>
      <c r="C57" s="8"/>
      <c r="D57" s="8" t="s">
        <v>380</v>
      </c>
    </row>
    <row r="58" spans="1:5" x14ac:dyDescent="0.35">
      <c r="A58" s="2">
        <v>193</v>
      </c>
      <c r="B58" t="s">
        <v>213</v>
      </c>
      <c r="C58" s="8"/>
      <c r="D58" s="8" t="s">
        <v>381</v>
      </c>
    </row>
    <row r="59" spans="1:5" x14ac:dyDescent="0.35">
      <c r="A59" s="2">
        <v>194</v>
      </c>
      <c r="B59" t="s">
        <v>214</v>
      </c>
      <c r="C59" s="8"/>
      <c r="D59" s="8" t="s">
        <v>382</v>
      </c>
    </row>
    <row r="60" spans="1:5" x14ac:dyDescent="0.35">
      <c r="A60" s="2">
        <v>195</v>
      </c>
      <c r="B60" t="s">
        <v>215</v>
      </c>
      <c r="C60" s="8"/>
      <c r="D60" s="8" t="s">
        <v>383</v>
      </c>
    </row>
    <row r="61" spans="1:5" x14ac:dyDescent="0.35">
      <c r="A61" s="2">
        <v>196</v>
      </c>
      <c r="B61" t="s">
        <v>216</v>
      </c>
      <c r="C61" s="8" t="s">
        <v>384</v>
      </c>
      <c r="D61" s="8" t="s">
        <v>385</v>
      </c>
    </row>
    <row r="62" spans="1:5" x14ac:dyDescent="0.35">
      <c r="A62" s="2">
        <v>197</v>
      </c>
      <c r="B62" t="s">
        <v>217</v>
      </c>
      <c r="C62" s="8"/>
      <c r="D62" s="8" t="s">
        <v>386</v>
      </c>
    </row>
    <row r="63" spans="1:5" x14ac:dyDescent="0.35">
      <c r="A63" s="2">
        <v>198</v>
      </c>
      <c r="B63" t="s">
        <v>218</v>
      </c>
      <c r="C63" s="8"/>
      <c r="D63" s="8" t="s">
        <v>387</v>
      </c>
    </row>
    <row r="64" spans="1:5" x14ac:dyDescent="0.35">
      <c r="A64" s="2">
        <v>199</v>
      </c>
      <c r="B64" t="s">
        <v>219</v>
      </c>
      <c r="C64" s="8"/>
      <c r="D64" s="8" t="s">
        <v>388</v>
      </c>
    </row>
    <row r="65" spans="1:5" x14ac:dyDescent="0.35">
      <c r="A65" s="2">
        <v>200</v>
      </c>
      <c r="B65" t="s">
        <v>220</v>
      </c>
      <c r="C65" s="8"/>
      <c r="D65" s="8" t="s">
        <v>389</v>
      </c>
    </row>
    <row r="66" spans="1:5" x14ac:dyDescent="0.35">
      <c r="A66" s="2">
        <v>201</v>
      </c>
      <c r="B66" t="s">
        <v>221</v>
      </c>
      <c r="C66" s="8"/>
      <c r="D66" s="8" t="s">
        <v>390</v>
      </c>
    </row>
    <row r="67" spans="1:5" x14ac:dyDescent="0.35">
      <c r="A67" s="2">
        <v>202</v>
      </c>
      <c r="B67" t="s">
        <v>222</v>
      </c>
      <c r="C67" s="8"/>
      <c r="D67" s="8" t="s">
        <v>391</v>
      </c>
    </row>
    <row r="68" spans="1:5" x14ac:dyDescent="0.35">
      <c r="A68" s="2">
        <v>203</v>
      </c>
      <c r="B68" t="s">
        <v>223</v>
      </c>
      <c r="C68" s="8"/>
      <c r="D68" s="8" t="s">
        <v>392</v>
      </c>
    </row>
    <row r="69" spans="1:5" x14ac:dyDescent="0.35">
      <c r="A69" s="2">
        <v>204</v>
      </c>
      <c r="B69" t="s">
        <v>224</v>
      </c>
      <c r="C69" s="8"/>
      <c r="D69" s="8" t="s">
        <v>393</v>
      </c>
    </row>
    <row r="70" spans="1:5" x14ac:dyDescent="0.35">
      <c r="A70" s="2">
        <v>205</v>
      </c>
      <c r="B70" t="s">
        <v>225</v>
      </c>
      <c r="C70" s="8"/>
      <c r="D70" s="8" t="s">
        <v>394</v>
      </c>
    </row>
    <row r="71" spans="1:5" x14ac:dyDescent="0.35">
      <c r="A71" s="2">
        <v>206</v>
      </c>
      <c r="B71" t="s">
        <v>226</v>
      </c>
      <c r="C71" s="8"/>
      <c r="D71" s="8" t="s">
        <v>395</v>
      </c>
    </row>
    <row r="72" spans="1:5" x14ac:dyDescent="0.35">
      <c r="A72" s="2">
        <v>207</v>
      </c>
      <c r="B72" t="s">
        <v>227</v>
      </c>
      <c r="C72" s="8"/>
      <c r="D72" s="8" t="s">
        <v>396</v>
      </c>
    </row>
    <row r="73" spans="1:5" x14ac:dyDescent="0.35">
      <c r="A73" s="2">
        <v>208</v>
      </c>
      <c r="B73" t="s">
        <v>228</v>
      </c>
      <c r="C73" s="8"/>
      <c r="D73" s="8" t="s">
        <v>397</v>
      </c>
    </row>
    <row r="74" spans="1:5" x14ac:dyDescent="0.35">
      <c r="A74" s="2">
        <v>209</v>
      </c>
      <c r="B74" t="s">
        <v>229</v>
      </c>
      <c r="C74" s="8"/>
      <c r="D74" s="8" t="s">
        <v>398</v>
      </c>
    </row>
    <row r="75" spans="1:5" x14ac:dyDescent="0.35">
      <c r="A75" s="2">
        <v>210</v>
      </c>
      <c r="B75" t="s">
        <v>230</v>
      </c>
      <c r="C75" s="8"/>
      <c r="D75" s="8" t="s">
        <v>399</v>
      </c>
      <c r="E75" t="s">
        <v>400</v>
      </c>
    </row>
    <row r="76" spans="1:5" x14ac:dyDescent="0.35">
      <c r="A76" s="2">
        <v>211</v>
      </c>
      <c r="B76" t="s">
        <v>231</v>
      </c>
      <c r="C76" s="8" t="s">
        <v>401</v>
      </c>
      <c r="D76" s="8" t="s">
        <v>402</v>
      </c>
    </row>
    <row r="77" spans="1:5" x14ac:dyDescent="0.35">
      <c r="A77" s="2">
        <v>212</v>
      </c>
      <c r="B77" t="s">
        <v>232</v>
      </c>
      <c r="C77" s="8"/>
      <c r="D77" s="8" t="s">
        <v>403</v>
      </c>
    </row>
    <row r="78" spans="1:5" x14ac:dyDescent="0.35">
      <c r="A78" s="2">
        <v>213</v>
      </c>
      <c r="B78" t="s">
        <v>233</v>
      </c>
      <c r="C78" s="8"/>
      <c r="D78" s="8" t="s">
        <v>404</v>
      </c>
    </row>
    <row r="79" spans="1:5" x14ac:dyDescent="0.35">
      <c r="A79" s="2">
        <v>214</v>
      </c>
      <c r="B79" t="s">
        <v>234</v>
      </c>
      <c r="C79" s="8"/>
      <c r="D79" s="8" t="s">
        <v>405</v>
      </c>
    </row>
    <row r="80" spans="1:5" x14ac:dyDescent="0.35">
      <c r="A80" s="2">
        <v>215</v>
      </c>
      <c r="B80" t="s">
        <v>235</v>
      </c>
      <c r="C80" s="8"/>
      <c r="D80" s="8" t="s">
        <v>406</v>
      </c>
    </row>
    <row r="81" spans="1:5" x14ac:dyDescent="0.35">
      <c r="A81" s="2">
        <v>216</v>
      </c>
      <c r="B81" t="s">
        <v>236</v>
      </c>
      <c r="C81" s="8"/>
      <c r="D81" s="8" t="s">
        <v>407</v>
      </c>
    </row>
    <row r="82" spans="1:5" x14ac:dyDescent="0.35">
      <c r="A82" s="2">
        <v>217</v>
      </c>
      <c r="B82" t="s">
        <v>237</v>
      </c>
      <c r="C82" s="8"/>
      <c r="D82" s="8" t="s">
        <v>408</v>
      </c>
    </row>
    <row r="83" spans="1:5" x14ac:dyDescent="0.35">
      <c r="A83" s="2">
        <v>218</v>
      </c>
      <c r="B83" t="s">
        <v>238</v>
      </c>
      <c r="C83" s="8"/>
      <c r="D83" s="8" t="s">
        <v>409</v>
      </c>
    </row>
    <row r="84" spans="1:5" x14ac:dyDescent="0.35">
      <c r="A84" s="2">
        <v>219</v>
      </c>
      <c r="B84" t="s">
        <v>239</v>
      </c>
      <c r="C84" s="8"/>
      <c r="D84" s="8" t="s">
        <v>410</v>
      </c>
    </row>
    <row r="85" spans="1:5" x14ac:dyDescent="0.35">
      <c r="A85" s="2">
        <v>220</v>
      </c>
      <c r="B85" t="s">
        <v>240</v>
      </c>
      <c r="C85" s="8"/>
      <c r="D85" s="8" t="s">
        <v>411</v>
      </c>
    </row>
    <row r="86" spans="1:5" x14ac:dyDescent="0.35">
      <c r="A86" s="2">
        <v>221</v>
      </c>
      <c r="B86" t="s">
        <v>241</v>
      </c>
      <c r="C86" s="8"/>
      <c r="D86" s="8" t="s">
        <v>412</v>
      </c>
    </row>
    <row r="87" spans="1:5" x14ac:dyDescent="0.35">
      <c r="A87" s="2">
        <v>222</v>
      </c>
      <c r="B87" t="s">
        <v>242</v>
      </c>
      <c r="C87" s="8"/>
      <c r="D87" s="8" t="s">
        <v>413</v>
      </c>
    </row>
    <row r="88" spans="1:5" x14ac:dyDescent="0.35">
      <c r="A88" s="2">
        <v>223</v>
      </c>
      <c r="B88" t="s">
        <v>243</v>
      </c>
      <c r="C88" s="8"/>
      <c r="D88" s="8" t="s">
        <v>414</v>
      </c>
    </row>
    <row r="89" spans="1:5" x14ac:dyDescent="0.35">
      <c r="A89" s="2">
        <v>224</v>
      </c>
      <c r="B89" t="s">
        <v>244</v>
      </c>
      <c r="C89" s="8"/>
      <c r="D89" s="8" t="s">
        <v>415</v>
      </c>
    </row>
    <row r="90" spans="1:5" x14ac:dyDescent="0.35">
      <c r="A90" s="2">
        <v>225</v>
      </c>
      <c r="B90" t="s">
        <v>245</v>
      </c>
      <c r="C90" s="8"/>
      <c r="D90" s="8" t="s">
        <v>416</v>
      </c>
    </row>
    <row r="91" spans="1:5" x14ac:dyDescent="0.35">
      <c r="A91" s="2">
        <v>226</v>
      </c>
      <c r="B91" t="s">
        <v>246</v>
      </c>
      <c r="C91" s="8"/>
      <c r="D91" s="8" t="s">
        <v>417</v>
      </c>
    </row>
    <row r="92" spans="1:5" x14ac:dyDescent="0.35">
      <c r="A92" s="2">
        <v>227</v>
      </c>
      <c r="B92" t="s">
        <v>247</v>
      </c>
      <c r="C92" s="8"/>
      <c r="D92" s="8" t="s">
        <v>418</v>
      </c>
      <c r="E92" t="s">
        <v>419</v>
      </c>
    </row>
    <row r="93" spans="1:5" x14ac:dyDescent="0.35">
      <c r="A93" s="2">
        <v>228</v>
      </c>
      <c r="B93" t="s">
        <v>248</v>
      </c>
      <c r="C93" s="8" t="s">
        <v>420</v>
      </c>
      <c r="D93" s="8" t="s">
        <v>422</v>
      </c>
    </row>
    <row r="94" spans="1:5" x14ac:dyDescent="0.35">
      <c r="A94" s="2">
        <v>229</v>
      </c>
      <c r="B94" t="s">
        <v>249</v>
      </c>
      <c r="C94" s="8"/>
      <c r="D94" s="8" t="s">
        <v>423</v>
      </c>
    </row>
    <row r="95" spans="1:5" x14ac:dyDescent="0.35">
      <c r="A95" s="2">
        <v>230</v>
      </c>
      <c r="B95" t="s">
        <v>250</v>
      </c>
      <c r="C95" s="8"/>
      <c r="D95" s="8" t="s">
        <v>424</v>
      </c>
    </row>
    <row r="96" spans="1:5" x14ac:dyDescent="0.35">
      <c r="A96" s="2">
        <v>231</v>
      </c>
      <c r="B96" t="s">
        <v>251</v>
      </c>
      <c r="C96" s="8"/>
      <c r="D96" s="8" t="s">
        <v>425</v>
      </c>
    </row>
    <row r="97" spans="1:4" x14ac:dyDescent="0.35">
      <c r="A97" s="2">
        <v>232</v>
      </c>
      <c r="B97" t="s">
        <v>252</v>
      </c>
      <c r="C97" s="8"/>
      <c r="D97" s="8" t="s">
        <v>426</v>
      </c>
    </row>
    <row r="98" spans="1:4" x14ac:dyDescent="0.35">
      <c r="A98" s="2">
        <v>233</v>
      </c>
      <c r="B98" t="s">
        <v>253</v>
      </c>
      <c r="C98" s="8"/>
      <c r="D98" s="8" t="s">
        <v>427</v>
      </c>
    </row>
    <row r="99" spans="1:4" x14ac:dyDescent="0.35">
      <c r="A99" s="2">
        <v>234</v>
      </c>
      <c r="B99" t="s">
        <v>254</v>
      </c>
      <c r="C99" s="8"/>
      <c r="D99" s="8" t="s">
        <v>428</v>
      </c>
    </row>
    <row r="100" spans="1:4" x14ac:dyDescent="0.35">
      <c r="A100" s="2">
        <v>235</v>
      </c>
      <c r="B100" t="s">
        <v>255</v>
      </c>
      <c r="C100" s="8" t="s">
        <v>429</v>
      </c>
      <c r="D100" s="8" t="s">
        <v>430</v>
      </c>
    </row>
    <row r="101" spans="1:4" x14ac:dyDescent="0.35">
      <c r="A101" s="2">
        <v>236</v>
      </c>
      <c r="B101" t="s">
        <v>256</v>
      </c>
      <c r="C101" s="8"/>
      <c r="D101" s="8" t="s">
        <v>431</v>
      </c>
    </row>
    <row r="102" spans="1:4" x14ac:dyDescent="0.35">
      <c r="A102" s="2">
        <v>237</v>
      </c>
      <c r="B102" t="s">
        <v>257</v>
      </c>
      <c r="C102" s="8"/>
      <c r="D102" s="8" t="s">
        <v>432</v>
      </c>
    </row>
    <row r="103" spans="1:4" x14ac:dyDescent="0.35">
      <c r="A103" s="2">
        <v>238</v>
      </c>
      <c r="B103" t="s">
        <v>258</v>
      </c>
      <c r="C103" s="8"/>
      <c r="D103" s="8" t="s">
        <v>433</v>
      </c>
    </row>
    <row r="104" spans="1:4" x14ac:dyDescent="0.35">
      <c r="A104" s="2">
        <v>239</v>
      </c>
      <c r="B104" t="s">
        <v>259</v>
      </c>
      <c r="C104" s="8"/>
      <c r="D104" s="8" t="s">
        <v>434</v>
      </c>
    </row>
    <row r="105" spans="1:4" x14ac:dyDescent="0.35">
      <c r="A105" s="2">
        <v>240</v>
      </c>
      <c r="B105" t="s">
        <v>260</v>
      </c>
      <c r="C105" s="8"/>
      <c r="D105" s="8" t="s">
        <v>435</v>
      </c>
    </row>
    <row r="106" spans="1:4" x14ac:dyDescent="0.35">
      <c r="A106" s="2">
        <v>241</v>
      </c>
      <c r="B106" t="s">
        <v>261</v>
      </c>
      <c r="C106" s="8"/>
      <c r="D106" s="8" t="s">
        <v>436</v>
      </c>
    </row>
    <row r="107" spans="1:4" x14ac:dyDescent="0.35">
      <c r="A107" s="2">
        <v>242</v>
      </c>
      <c r="B107" t="s">
        <v>262</v>
      </c>
      <c r="C107" s="8"/>
      <c r="D107" s="8" t="s">
        <v>421</v>
      </c>
    </row>
    <row r="108" spans="1:4" x14ac:dyDescent="0.35">
      <c r="A108" s="2">
        <v>243</v>
      </c>
      <c r="B108" t="s">
        <v>263</v>
      </c>
      <c r="C108" s="8" t="s">
        <v>437</v>
      </c>
      <c r="D108" s="8" t="s">
        <v>438</v>
      </c>
    </row>
    <row r="109" spans="1:4" x14ac:dyDescent="0.35">
      <c r="A109" s="2">
        <v>244</v>
      </c>
      <c r="B109" t="s">
        <v>264</v>
      </c>
      <c r="C109" s="8"/>
      <c r="D109" s="8" t="s">
        <v>439</v>
      </c>
    </row>
    <row r="110" spans="1:4" x14ac:dyDescent="0.35">
      <c r="A110" s="2">
        <v>245</v>
      </c>
      <c r="B110" t="s">
        <v>265</v>
      </c>
      <c r="C110" s="8"/>
      <c r="D110" s="8" t="s">
        <v>440</v>
      </c>
    </row>
    <row r="111" spans="1:4" x14ac:dyDescent="0.35">
      <c r="A111" s="2">
        <v>246</v>
      </c>
      <c r="B111" t="s">
        <v>266</v>
      </c>
      <c r="C111" s="8"/>
      <c r="D111" s="8" t="s">
        <v>441</v>
      </c>
    </row>
    <row r="112" spans="1:4" x14ac:dyDescent="0.35">
      <c r="A112" s="2">
        <v>247</v>
      </c>
      <c r="B112" t="s">
        <v>267</v>
      </c>
      <c r="C112" s="8"/>
      <c r="D112" s="8" t="s">
        <v>442</v>
      </c>
    </row>
    <row r="113" spans="1:4" x14ac:dyDescent="0.35">
      <c r="A113" s="2">
        <v>248</v>
      </c>
      <c r="B113" t="s">
        <v>268</v>
      </c>
      <c r="C113" s="8"/>
      <c r="D113" s="8" t="s">
        <v>443</v>
      </c>
    </row>
    <row r="114" spans="1:4" x14ac:dyDescent="0.35">
      <c r="A114" s="2">
        <v>249</v>
      </c>
      <c r="B114" t="s">
        <v>269</v>
      </c>
      <c r="C114" s="8"/>
      <c r="D114" s="8" t="s">
        <v>444</v>
      </c>
    </row>
    <row r="115" spans="1:4" x14ac:dyDescent="0.35">
      <c r="A115" s="2">
        <v>250</v>
      </c>
      <c r="B115" t="s">
        <v>270</v>
      </c>
      <c r="C115" s="8"/>
      <c r="D115" s="8" t="s">
        <v>445</v>
      </c>
    </row>
    <row r="116" spans="1:4" x14ac:dyDescent="0.35">
      <c r="A116" s="2">
        <v>251</v>
      </c>
      <c r="B116" t="s">
        <v>271</v>
      </c>
      <c r="C116" s="8"/>
      <c r="D116" s="8" t="s">
        <v>446</v>
      </c>
    </row>
    <row r="117" spans="1:4" x14ac:dyDescent="0.35">
      <c r="A117" s="2">
        <v>252</v>
      </c>
      <c r="B117" t="s">
        <v>272</v>
      </c>
      <c r="C117" s="8"/>
      <c r="D117" s="8" t="s">
        <v>447</v>
      </c>
    </row>
    <row r="118" spans="1:4" x14ac:dyDescent="0.35">
      <c r="A118" s="2">
        <v>253</v>
      </c>
      <c r="B118" t="s">
        <v>273</v>
      </c>
      <c r="C118" s="8"/>
      <c r="D118" s="8" t="s">
        <v>448</v>
      </c>
    </row>
    <row r="119" spans="1:4" x14ac:dyDescent="0.35">
      <c r="A119" s="2">
        <v>254</v>
      </c>
      <c r="B119" t="s">
        <v>274</v>
      </c>
      <c r="C119" s="8"/>
      <c r="D119" s="8" t="s">
        <v>449</v>
      </c>
    </row>
    <row r="120" spans="1:4" x14ac:dyDescent="0.35">
      <c r="A120" s="2">
        <v>255</v>
      </c>
      <c r="B120" t="s">
        <v>275</v>
      </c>
      <c r="C120" s="8"/>
      <c r="D120" s="8" t="s">
        <v>450</v>
      </c>
    </row>
    <row r="121" spans="1:4" x14ac:dyDescent="0.35">
      <c r="A121" s="2">
        <v>256</v>
      </c>
      <c r="B121" t="s">
        <v>276</v>
      </c>
      <c r="C121" s="8"/>
      <c r="D121" s="8" t="s">
        <v>451</v>
      </c>
    </row>
    <row r="122" spans="1:4" x14ac:dyDescent="0.35">
      <c r="A122" s="2">
        <v>257</v>
      </c>
      <c r="B122" t="s">
        <v>277</v>
      </c>
      <c r="C122" s="8"/>
      <c r="D122" s="8" t="s">
        <v>452</v>
      </c>
    </row>
    <row r="123" spans="1:4" x14ac:dyDescent="0.35">
      <c r="A123" s="2">
        <v>258</v>
      </c>
      <c r="B123" t="s">
        <v>278</v>
      </c>
      <c r="C123" s="8" t="s">
        <v>453</v>
      </c>
      <c r="D123" s="8" t="s">
        <v>454</v>
      </c>
    </row>
    <row r="124" spans="1:4" x14ac:dyDescent="0.35">
      <c r="A124" s="2">
        <v>259</v>
      </c>
      <c r="B124" t="s">
        <v>279</v>
      </c>
      <c r="C124" s="8"/>
      <c r="D124" s="8" t="s">
        <v>455</v>
      </c>
    </row>
    <row r="125" spans="1:4" x14ac:dyDescent="0.35">
      <c r="A125" s="2">
        <v>260</v>
      </c>
      <c r="B125" t="s">
        <v>280</v>
      </c>
      <c r="C125" s="8"/>
      <c r="D125" s="8" t="s">
        <v>456</v>
      </c>
    </row>
    <row r="126" spans="1:4" x14ac:dyDescent="0.35">
      <c r="A126" s="2">
        <v>261</v>
      </c>
      <c r="B126" t="s">
        <v>281</v>
      </c>
      <c r="C126" s="8"/>
      <c r="D126" s="8" t="s">
        <v>457</v>
      </c>
    </row>
    <row r="127" spans="1:4" x14ac:dyDescent="0.35">
      <c r="A127" s="2">
        <v>262</v>
      </c>
      <c r="B127" t="s">
        <v>282</v>
      </c>
      <c r="C127" s="8"/>
      <c r="D127" s="8" t="s">
        <v>458</v>
      </c>
    </row>
    <row r="128" spans="1:4" x14ac:dyDescent="0.35">
      <c r="A128" s="2">
        <v>263</v>
      </c>
      <c r="B128" t="s">
        <v>283</v>
      </c>
      <c r="C128" s="8"/>
      <c r="D128" s="8" t="s">
        <v>459</v>
      </c>
    </row>
    <row r="129" spans="1:5" x14ac:dyDescent="0.35">
      <c r="A129" s="2">
        <v>264</v>
      </c>
      <c r="B129" t="s">
        <v>284</v>
      </c>
      <c r="C129" s="8"/>
      <c r="D129" s="8" t="s">
        <v>460</v>
      </c>
    </row>
    <row r="130" spans="1:5" x14ac:dyDescent="0.35">
      <c r="A130" s="2">
        <v>265</v>
      </c>
      <c r="B130" t="s">
        <v>285</v>
      </c>
      <c r="C130" s="8"/>
      <c r="D130" s="8" t="s">
        <v>461</v>
      </c>
    </row>
    <row r="131" spans="1:5" x14ac:dyDescent="0.35">
      <c r="A131" s="2">
        <v>266</v>
      </c>
      <c r="B131" t="s">
        <v>286</v>
      </c>
      <c r="C131" s="8"/>
      <c r="D131" s="8" t="s">
        <v>462</v>
      </c>
    </row>
    <row r="132" spans="1:5" x14ac:dyDescent="0.35">
      <c r="A132" s="2">
        <v>267</v>
      </c>
      <c r="B132" t="s">
        <v>287</v>
      </c>
      <c r="C132" s="8"/>
      <c r="D132" s="8" t="s">
        <v>463</v>
      </c>
    </row>
    <row r="133" spans="1:5" x14ac:dyDescent="0.35">
      <c r="A133" s="2">
        <v>268</v>
      </c>
      <c r="B133" t="s">
        <v>288</v>
      </c>
      <c r="C133" s="8"/>
      <c r="D133" s="8" t="s">
        <v>464</v>
      </c>
    </row>
    <row r="134" spans="1:5" x14ac:dyDescent="0.35">
      <c r="A134" s="2">
        <v>269</v>
      </c>
      <c r="B134" t="s">
        <v>289</v>
      </c>
      <c r="C134" s="8"/>
      <c r="D134" s="8" t="s">
        <v>465</v>
      </c>
    </row>
    <row r="135" spans="1:5" x14ac:dyDescent="0.35">
      <c r="A135" s="2">
        <v>270</v>
      </c>
      <c r="B135" t="s">
        <v>290</v>
      </c>
      <c r="C135" s="8"/>
      <c r="D135" s="8" t="s">
        <v>466</v>
      </c>
    </row>
    <row r="136" spans="1:5" x14ac:dyDescent="0.35">
      <c r="A136" s="2">
        <v>271</v>
      </c>
      <c r="B136" t="s">
        <v>291</v>
      </c>
      <c r="C136" s="8"/>
      <c r="D136" s="8" t="s">
        <v>467</v>
      </c>
    </row>
    <row r="137" spans="1:5" x14ac:dyDescent="0.35">
      <c r="A137" s="2">
        <v>272</v>
      </c>
      <c r="B137" t="s">
        <v>292</v>
      </c>
      <c r="C137" s="8"/>
      <c r="D137" s="8" t="s">
        <v>468</v>
      </c>
    </row>
    <row r="138" spans="1:5" x14ac:dyDescent="0.35">
      <c r="A138" s="2">
        <v>273</v>
      </c>
      <c r="B138" t="s">
        <v>293</v>
      </c>
      <c r="C138" s="8"/>
      <c r="D138" s="8" t="s">
        <v>469</v>
      </c>
    </row>
    <row r="139" spans="1:5" x14ac:dyDescent="0.35">
      <c r="A139" s="10">
        <v>274</v>
      </c>
      <c r="B139" s="11" t="s">
        <v>294</v>
      </c>
      <c r="C139" s="12"/>
      <c r="D139" s="12"/>
      <c r="E139" s="11"/>
    </row>
    <row r="140" spans="1:5" x14ac:dyDescent="0.35">
      <c r="A140" s="2">
        <v>275</v>
      </c>
      <c r="B140" t="s">
        <v>295</v>
      </c>
      <c r="C140" s="9" t="s">
        <v>470</v>
      </c>
      <c r="D140" s="9" t="s">
        <v>471</v>
      </c>
    </row>
    <row r="141" spans="1:5" x14ac:dyDescent="0.35">
      <c r="A141" s="2">
        <v>276</v>
      </c>
      <c r="B141" t="s">
        <v>296</v>
      </c>
      <c r="C141" s="9"/>
      <c r="D141" s="9" t="s">
        <v>472</v>
      </c>
    </row>
    <row r="142" spans="1:5" x14ac:dyDescent="0.35">
      <c r="A142" s="10">
        <v>277</v>
      </c>
      <c r="B142" s="11" t="s">
        <v>297</v>
      </c>
      <c r="C142" s="12"/>
      <c r="D142" s="12"/>
      <c r="E142" s="11"/>
    </row>
    <row r="143" spans="1:5" x14ac:dyDescent="0.35">
      <c r="A143" s="2">
        <v>278</v>
      </c>
      <c r="B143" t="s">
        <v>298</v>
      </c>
      <c r="C143" s="9" t="s">
        <v>472</v>
      </c>
      <c r="D143" s="9" t="s">
        <v>473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0643-3585-40F1-A614-9E385476F72C}">
  <dimension ref="A1:I300"/>
  <sheetViews>
    <sheetView topLeftCell="A90" workbookViewId="0">
      <selection activeCell="G2" sqref="G2:G137"/>
    </sheetView>
  </sheetViews>
  <sheetFormatPr defaultRowHeight="14.5" x14ac:dyDescent="0.35"/>
  <sheetData>
    <row r="1" spans="1:9" x14ac:dyDescent="0.35">
      <c r="A1" s="7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10</v>
      </c>
    </row>
    <row r="2" spans="1:9" x14ac:dyDescent="0.35">
      <c r="A2" s="7">
        <v>1</v>
      </c>
      <c r="B2">
        <v>2</v>
      </c>
      <c r="C2">
        <v>90</v>
      </c>
      <c r="D2">
        <v>220</v>
      </c>
      <c r="E2">
        <v>95</v>
      </c>
      <c r="F2">
        <v>0</v>
      </c>
      <c r="G2">
        <v>1</v>
      </c>
      <c r="H2">
        <v>1</v>
      </c>
      <c r="I2" t="s">
        <v>17</v>
      </c>
    </row>
    <row r="3" spans="1:9" x14ac:dyDescent="0.35">
      <c r="A3" s="7">
        <v>2</v>
      </c>
      <c r="B3">
        <v>3</v>
      </c>
      <c r="C3">
        <v>90</v>
      </c>
      <c r="D3">
        <v>220</v>
      </c>
      <c r="E3" t="s">
        <v>18</v>
      </c>
      <c r="F3">
        <v>0</v>
      </c>
      <c r="G3">
        <v>1</v>
      </c>
      <c r="H3">
        <v>1</v>
      </c>
      <c r="I3" t="s">
        <v>19</v>
      </c>
    </row>
    <row r="4" spans="1:9" x14ac:dyDescent="0.35">
      <c r="A4" s="7">
        <v>3</v>
      </c>
      <c r="B4">
        <v>1</v>
      </c>
      <c r="C4">
        <v>90</v>
      </c>
      <c r="D4">
        <v>220</v>
      </c>
      <c r="E4">
        <v>440</v>
      </c>
      <c r="F4">
        <v>0</v>
      </c>
      <c r="G4">
        <v>1</v>
      </c>
      <c r="H4">
        <v>1</v>
      </c>
      <c r="I4" t="s">
        <v>20</v>
      </c>
    </row>
    <row r="5" spans="1:9" x14ac:dyDescent="0.35">
      <c r="A5" s="7">
        <v>4</v>
      </c>
      <c r="B5">
        <v>1</v>
      </c>
      <c r="C5">
        <v>90</v>
      </c>
      <c r="D5">
        <v>220</v>
      </c>
      <c r="E5">
        <v>690</v>
      </c>
      <c r="F5">
        <v>0</v>
      </c>
      <c r="G5">
        <v>1</v>
      </c>
      <c r="H5">
        <v>2</v>
      </c>
      <c r="I5" t="s">
        <v>21</v>
      </c>
    </row>
    <row r="6" spans="1:9" x14ac:dyDescent="0.35">
      <c r="A6" s="7">
        <v>5</v>
      </c>
      <c r="B6">
        <v>1</v>
      </c>
      <c r="C6">
        <v>90</v>
      </c>
      <c r="D6">
        <v>220</v>
      </c>
      <c r="E6">
        <v>940</v>
      </c>
      <c r="F6">
        <v>0</v>
      </c>
      <c r="G6">
        <v>1</v>
      </c>
      <c r="H6">
        <v>3</v>
      </c>
      <c r="I6" t="s">
        <v>22</v>
      </c>
    </row>
    <row r="7" spans="1:9" x14ac:dyDescent="0.35">
      <c r="A7" s="7">
        <v>6</v>
      </c>
      <c r="B7">
        <v>1</v>
      </c>
      <c r="C7">
        <v>90</v>
      </c>
      <c r="D7">
        <v>220</v>
      </c>
      <c r="E7">
        <v>1190</v>
      </c>
      <c r="F7">
        <v>0</v>
      </c>
      <c r="G7">
        <v>1</v>
      </c>
      <c r="H7">
        <v>4</v>
      </c>
      <c r="I7" t="s">
        <v>23</v>
      </c>
    </row>
    <row r="8" spans="1:9" x14ac:dyDescent="0.35">
      <c r="A8" s="7">
        <v>7</v>
      </c>
      <c r="B8">
        <v>1</v>
      </c>
      <c r="C8">
        <v>90</v>
      </c>
      <c r="D8">
        <v>220</v>
      </c>
      <c r="E8">
        <v>1440</v>
      </c>
      <c r="F8">
        <v>0</v>
      </c>
      <c r="G8">
        <v>1</v>
      </c>
      <c r="H8">
        <v>5</v>
      </c>
      <c r="I8" t="s">
        <v>24</v>
      </c>
    </row>
    <row r="9" spans="1:9" x14ac:dyDescent="0.35">
      <c r="A9" s="7">
        <v>8</v>
      </c>
      <c r="B9">
        <v>1</v>
      </c>
      <c r="C9">
        <v>90</v>
      </c>
      <c r="D9">
        <v>220</v>
      </c>
      <c r="E9">
        <v>1690</v>
      </c>
      <c r="F9">
        <v>0</v>
      </c>
      <c r="G9">
        <v>1</v>
      </c>
      <c r="H9">
        <v>6</v>
      </c>
      <c r="I9" t="s">
        <v>25</v>
      </c>
    </row>
    <row r="10" spans="1:9" x14ac:dyDescent="0.35">
      <c r="A10" s="7">
        <v>9</v>
      </c>
      <c r="B10">
        <v>1</v>
      </c>
      <c r="C10">
        <v>90</v>
      </c>
      <c r="D10">
        <v>220</v>
      </c>
      <c r="E10">
        <v>1940</v>
      </c>
      <c r="F10">
        <v>0</v>
      </c>
      <c r="G10">
        <v>1</v>
      </c>
      <c r="H10">
        <v>7</v>
      </c>
      <c r="I10" t="s">
        <v>26</v>
      </c>
    </row>
    <row r="11" spans="1:9" x14ac:dyDescent="0.35">
      <c r="A11" s="7">
        <v>10</v>
      </c>
      <c r="B11">
        <v>1</v>
      </c>
      <c r="C11">
        <v>90</v>
      </c>
      <c r="D11">
        <v>220</v>
      </c>
      <c r="E11">
        <v>2190</v>
      </c>
      <c r="F11">
        <v>0</v>
      </c>
      <c r="G11">
        <v>1</v>
      </c>
      <c r="H11">
        <v>8</v>
      </c>
      <c r="I11" t="s">
        <v>27</v>
      </c>
    </row>
    <row r="12" spans="1:9" x14ac:dyDescent="0.35">
      <c r="A12" s="7">
        <v>11</v>
      </c>
      <c r="B12">
        <v>1</v>
      </c>
      <c r="C12">
        <v>90</v>
      </c>
      <c r="D12">
        <v>220</v>
      </c>
      <c r="E12">
        <v>2440</v>
      </c>
      <c r="F12">
        <v>0</v>
      </c>
      <c r="G12">
        <v>1</v>
      </c>
      <c r="H12">
        <v>9</v>
      </c>
      <c r="I12" t="s">
        <v>28</v>
      </c>
    </row>
    <row r="13" spans="1:9" x14ac:dyDescent="0.35">
      <c r="A13" s="7">
        <v>12</v>
      </c>
      <c r="B13">
        <v>1</v>
      </c>
      <c r="C13">
        <v>90</v>
      </c>
      <c r="D13">
        <v>220</v>
      </c>
      <c r="E13">
        <v>2690</v>
      </c>
      <c r="F13">
        <v>0</v>
      </c>
      <c r="G13">
        <v>1</v>
      </c>
      <c r="H13">
        <v>10</v>
      </c>
      <c r="I13" t="s">
        <v>29</v>
      </c>
    </row>
    <row r="14" spans="1:9" x14ac:dyDescent="0.35">
      <c r="A14" s="7">
        <v>13</v>
      </c>
      <c r="B14">
        <v>1</v>
      </c>
      <c r="C14">
        <v>90</v>
      </c>
      <c r="D14">
        <v>220</v>
      </c>
      <c r="E14">
        <v>2940</v>
      </c>
      <c r="F14">
        <v>0</v>
      </c>
      <c r="G14">
        <v>1</v>
      </c>
      <c r="H14">
        <v>11</v>
      </c>
      <c r="I14" t="s">
        <v>30</v>
      </c>
    </row>
    <row r="15" spans="1:9" x14ac:dyDescent="0.35">
      <c r="A15" s="7">
        <v>14</v>
      </c>
      <c r="B15">
        <v>1</v>
      </c>
      <c r="C15">
        <v>90</v>
      </c>
      <c r="D15">
        <v>220</v>
      </c>
      <c r="E15">
        <v>3190</v>
      </c>
      <c r="F15">
        <v>0</v>
      </c>
      <c r="G15">
        <v>1</v>
      </c>
      <c r="H15">
        <v>12</v>
      </c>
      <c r="I15" t="s">
        <v>31</v>
      </c>
    </row>
    <row r="16" spans="1:9" x14ac:dyDescent="0.35">
      <c r="A16" s="7">
        <v>15</v>
      </c>
      <c r="B16">
        <v>1</v>
      </c>
      <c r="C16">
        <v>90</v>
      </c>
      <c r="D16">
        <v>220</v>
      </c>
      <c r="E16">
        <v>3440</v>
      </c>
      <c r="F16">
        <v>0</v>
      </c>
      <c r="G16">
        <v>1</v>
      </c>
      <c r="H16">
        <v>13</v>
      </c>
      <c r="I16" t="s">
        <v>32</v>
      </c>
    </row>
    <row r="17" spans="1:9" x14ac:dyDescent="0.35">
      <c r="A17" s="7">
        <v>16</v>
      </c>
      <c r="B17">
        <v>1</v>
      </c>
      <c r="C17">
        <v>90</v>
      </c>
      <c r="D17">
        <v>220</v>
      </c>
      <c r="E17">
        <v>3690</v>
      </c>
      <c r="F17">
        <v>0</v>
      </c>
      <c r="G17">
        <v>1</v>
      </c>
      <c r="H17">
        <v>14</v>
      </c>
      <c r="I17" t="s">
        <v>33</v>
      </c>
    </row>
    <row r="18" spans="1:9" x14ac:dyDescent="0.35">
      <c r="A18" s="7">
        <v>17</v>
      </c>
      <c r="B18">
        <v>1</v>
      </c>
      <c r="C18">
        <v>90</v>
      </c>
      <c r="D18">
        <v>220</v>
      </c>
      <c r="E18">
        <v>3940</v>
      </c>
      <c r="F18">
        <v>0</v>
      </c>
      <c r="G18">
        <v>1</v>
      </c>
      <c r="H18">
        <v>15</v>
      </c>
      <c r="I18" t="s">
        <v>34</v>
      </c>
    </row>
    <row r="19" spans="1:9" x14ac:dyDescent="0.35">
      <c r="A19" s="7">
        <v>18</v>
      </c>
      <c r="B19">
        <v>1</v>
      </c>
      <c r="C19">
        <v>90</v>
      </c>
      <c r="D19">
        <v>220</v>
      </c>
      <c r="E19">
        <v>4190</v>
      </c>
      <c r="F19">
        <v>0</v>
      </c>
      <c r="G19">
        <v>1</v>
      </c>
      <c r="H19">
        <v>16</v>
      </c>
      <c r="I19" t="s">
        <v>35</v>
      </c>
    </row>
    <row r="20" spans="1:9" x14ac:dyDescent="0.35">
      <c r="A20" s="7">
        <v>19</v>
      </c>
      <c r="B20">
        <v>1</v>
      </c>
      <c r="C20">
        <v>90</v>
      </c>
      <c r="D20">
        <v>220</v>
      </c>
      <c r="E20">
        <v>4440</v>
      </c>
      <c r="F20">
        <v>0</v>
      </c>
      <c r="G20">
        <v>1</v>
      </c>
      <c r="H20">
        <v>17</v>
      </c>
      <c r="I20" t="s">
        <v>36</v>
      </c>
    </row>
    <row r="21" spans="1:9" x14ac:dyDescent="0.35">
      <c r="A21" s="7">
        <v>20</v>
      </c>
      <c r="B21">
        <v>1</v>
      </c>
      <c r="C21">
        <v>90</v>
      </c>
      <c r="D21">
        <v>220</v>
      </c>
      <c r="E21">
        <v>4690</v>
      </c>
      <c r="F21">
        <v>0</v>
      </c>
      <c r="G21">
        <v>1</v>
      </c>
      <c r="H21">
        <v>18</v>
      </c>
      <c r="I21" t="s">
        <v>37</v>
      </c>
    </row>
    <row r="22" spans="1:9" x14ac:dyDescent="0.35">
      <c r="A22" s="7">
        <v>21</v>
      </c>
      <c r="B22">
        <v>4</v>
      </c>
      <c r="C22">
        <v>0</v>
      </c>
      <c r="D22">
        <v>565</v>
      </c>
      <c r="E22">
        <v>220</v>
      </c>
      <c r="F22">
        <v>0</v>
      </c>
      <c r="G22">
        <v>1</v>
      </c>
      <c r="H22">
        <v>1</v>
      </c>
      <c r="I22" t="s">
        <v>38</v>
      </c>
    </row>
    <row r="23" spans="1:9" x14ac:dyDescent="0.35">
      <c r="A23" s="7">
        <v>22</v>
      </c>
      <c r="B23">
        <v>1</v>
      </c>
      <c r="C23">
        <v>0</v>
      </c>
      <c r="D23">
        <v>815</v>
      </c>
      <c r="E23">
        <v>220</v>
      </c>
      <c r="F23">
        <v>0</v>
      </c>
      <c r="G23">
        <v>1</v>
      </c>
      <c r="H23">
        <v>19</v>
      </c>
      <c r="I23" t="s">
        <v>39</v>
      </c>
    </row>
    <row r="24" spans="1:9" x14ac:dyDescent="0.35">
      <c r="A24" s="7">
        <v>23</v>
      </c>
      <c r="B24">
        <v>1</v>
      </c>
      <c r="C24">
        <v>0</v>
      </c>
      <c r="D24">
        <v>1065</v>
      </c>
      <c r="E24">
        <v>220</v>
      </c>
      <c r="F24">
        <v>0</v>
      </c>
      <c r="G24">
        <v>1</v>
      </c>
      <c r="H24">
        <v>20</v>
      </c>
      <c r="I24" t="s">
        <v>40</v>
      </c>
    </row>
    <row r="25" spans="1:9" x14ac:dyDescent="0.35">
      <c r="A25" s="7">
        <v>24</v>
      </c>
      <c r="B25">
        <v>1</v>
      </c>
      <c r="C25">
        <v>0</v>
      </c>
      <c r="D25">
        <v>1315</v>
      </c>
      <c r="E25">
        <v>220</v>
      </c>
      <c r="F25">
        <v>0</v>
      </c>
      <c r="G25">
        <v>1</v>
      </c>
      <c r="H25">
        <v>21</v>
      </c>
      <c r="I25" t="s">
        <v>41</v>
      </c>
    </row>
    <row r="26" spans="1:9" x14ac:dyDescent="0.35">
      <c r="A26" s="7">
        <v>25</v>
      </c>
      <c r="B26">
        <v>1</v>
      </c>
      <c r="C26">
        <v>0</v>
      </c>
      <c r="D26">
        <v>1565</v>
      </c>
      <c r="E26">
        <v>220</v>
      </c>
      <c r="F26">
        <v>0</v>
      </c>
      <c r="G26">
        <v>1</v>
      </c>
      <c r="H26">
        <v>22</v>
      </c>
      <c r="I26" t="s">
        <v>42</v>
      </c>
    </row>
    <row r="27" spans="1:9" x14ac:dyDescent="0.35">
      <c r="A27" s="7">
        <v>26</v>
      </c>
      <c r="B27">
        <v>1</v>
      </c>
      <c r="C27">
        <v>0</v>
      </c>
      <c r="D27">
        <v>1815</v>
      </c>
      <c r="E27">
        <v>220</v>
      </c>
      <c r="F27">
        <v>0</v>
      </c>
      <c r="G27">
        <v>1</v>
      </c>
      <c r="H27">
        <v>23</v>
      </c>
      <c r="I27" t="s">
        <v>43</v>
      </c>
    </row>
    <row r="28" spans="1:9" x14ac:dyDescent="0.35">
      <c r="A28" s="7">
        <v>27</v>
      </c>
      <c r="B28">
        <v>1</v>
      </c>
      <c r="C28">
        <v>0</v>
      </c>
      <c r="D28">
        <v>2065</v>
      </c>
      <c r="E28">
        <v>220</v>
      </c>
      <c r="F28">
        <v>0</v>
      </c>
      <c r="G28">
        <v>1</v>
      </c>
      <c r="H28">
        <v>24</v>
      </c>
      <c r="I28" t="s">
        <v>44</v>
      </c>
    </row>
    <row r="29" spans="1:9" x14ac:dyDescent="0.35">
      <c r="A29" s="7">
        <v>28</v>
      </c>
      <c r="B29">
        <v>1</v>
      </c>
      <c r="C29">
        <v>0</v>
      </c>
      <c r="D29">
        <v>2315</v>
      </c>
      <c r="E29">
        <v>220</v>
      </c>
      <c r="F29">
        <v>0</v>
      </c>
      <c r="G29">
        <v>1</v>
      </c>
      <c r="H29">
        <v>25</v>
      </c>
      <c r="I29" t="s">
        <v>45</v>
      </c>
    </row>
    <row r="30" spans="1:9" x14ac:dyDescent="0.35">
      <c r="A30" s="7">
        <v>29</v>
      </c>
      <c r="B30">
        <v>1</v>
      </c>
      <c r="C30">
        <v>0</v>
      </c>
      <c r="D30">
        <v>2565</v>
      </c>
      <c r="E30">
        <v>220</v>
      </c>
      <c r="F30">
        <v>0</v>
      </c>
      <c r="G30">
        <v>1</v>
      </c>
      <c r="H30">
        <v>26</v>
      </c>
      <c r="I30" t="s">
        <v>46</v>
      </c>
    </row>
    <row r="31" spans="1:9" x14ac:dyDescent="0.35">
      <c r="A31" s="7">
        <v>30</v>
      </c>
      <c r="B31">
        <v>1</v>
      </c>
      <c r="C31">
        <v>0</v>
      </c>
      <c r="D31">
        <v>2815</v>
      </c>
      <c r="E31">
        <v>220</v>
      </c>
      <c r="F31">
        <v>0</v>
      </c>
      <c r="G31">
        <v>1</v>
      </c>
      <c r="H31">
        <v>27</v>
      </c>
      <c r="I31" t="s">
        <v>47</v>
      </c>
    </row>
    <row r="32" spans="1:9" x14ac:dyDescent="0.35">
      <c r="A32" s="7">
        <v>31</v>
      </c>
      <c r="B32">
        <v>1</v>
      </c>
      <c r="C32">
        <v>0</v>
      </c>
      <c r="D32">
        <v>3065</v>
      </c>
      <c r="E32">
        <v>220</v>
      </c>
      <c r="F32">
        <v>0</v>
      </c>
      <c r="G32">
        <v>1</v>
      </c>
      <c r="H32">
        <v>28</v>
      </c>
      <c r="I32" t="s">
        <v>48</v>
      </c>
    </row>
    <row r="33" spans="1:9" x14ac:dyDescent="0.35">
      <c r="A33" s="7">
        <v>32</v>
      </c>
      <c r="B33">
        <v>1</v>
      </c>
      <c r="C33">
        <v>0</v>
      </c>
      <c r="D33">
        <v>3315</v>
      </c>
      <c r="E33">
        <v>220</v>
      </c>
      <c r="F33">
        <v>0</v>
      </c>
      <c r="G33">
        <v>1</v>
      </c>
      <c r="H33">
        <v>29</v>
      </c>
      <c r="I33" t="s">
        <v>49</v>
      </c>
    </row>
    <row r="34" spans="1:9" x14ac:dyDescent="0.35">
      <c r="A34" s="7">
        <v>33</v>
      </c>
      <c r="B34">
        <v>1</v>
      </c>
      <c r="C34">
        <v>0</v>
      </c>
      <c r="D34">
        <v>3565</v>
      </c>
      <c r="E34">
        <v>220</v>
      </c>
      <c r="F34">
        <v>0</v>
      </c>
      <c r="G34">
        <v>1</v>
      </c>
      <c r="H34">
        <v>30</v>
      </c>
      <c r="I34" t="s">
        <v>50</v>
      </c>
    </row>
    <row r="35" spans="1:9" x14ac:dyDescent="0.35">
      <c r="A35" s="7">
        <v>34</v>
      </c>
      <c r="B35">
        <v>1</v>
      </c>
      <c r="C35">
        <v>0</v>
      </c>
      <c r="D35">
        <v>3815</v>
      </c>
      <c r="E35">
        <v>220</v>
      </c>
      <c r="F35">
        <v>0</v>
      </c>
      <c r="G35">
        <v>1</v>
      </c>
      <c r="H35">
        <v>31</v>
      </c>
      <c r="I35" t="s">
        <v>51</v>
      </c>
    </row>
    <row r="36" spans="1:9" x14ac:dyDescent="0.35">
      <c r="A36" s="7">
        <v>35</v>
      </c>
      <c r="B36">
        <v>3</v>
      </c>
      <c r="C36">
        <v>180</v>
      </c>
      <c r="D36" t="s">
        <v>52</v>
      </c>
      <c r="E36">
        <v>220</v>
      </c>
      <c r="F36">
        <v>0</v>
      </c>
      <c r="G36">
        <v>1</v>
      </c>
      <c r="H36">
        <v>2</v>
      </c>
      <c r="I36" t="s">
        <v>53</v>
      </c>
    </row>
    <row r="37" spans="1:9" x14ac:dyDescent="0.35">
      <c r="A37" s="7">
        <v>36</v>
      </c>
      <c r="B37">
        <v>2</v>
      </c>
      <c r="C37">
        <v>180</v>
      </c>
      <c r="D37">
        <v>95</v>
      </c>
      <c r="E37">
        <v>220</v>
      </c>
      <c r="F37">
        <v>250</v>
      </c>
      <c r="G37">
        <v>2</v>
      </c>
      <c r="H37">
        <v>2</v>
      </c>
      <c r="I37" t="s">
        <v>54</v>
      </c>
    </row>
    <row r="38" spans="1:9" x14ac:dyDescent="0.35">
      <c r="A38" s="7">
        <v>37</v>
      </c>
      <c r="B38">
        <v>3</v>
      </c>
      <c r="C38">
        <v>0</v>
      </c>
      <c r="D38" t="s">
        <v>18</v>
      </c>
      <c r="E38">
        <v>220</v>
      </c>
      <c r="F38">
        <v>250</v>
      </c>
      <c r="G38">
        <v>2</v>
      </c>
      <c r="H38">
        <v>3</v>
      </c>
      <c r="I38" t="s">
        <v>55</v>
      </c>
    </row>
    <row r="39" spans="1:9" x14ac:dyDescent="0.35">
      <c r="A39" s="7">
        <v>38</v>
      </c>
      <c r="B39">
        <v>1</v>
      </c>
      <c r="C39">
        <v>180</v>
      </c>
      <c r="D39">
        <v>440</v>
      </c>
      <c r="E39">
        <v>220</v>
      </c>
      <c r="F39">
        <v>250</v>
      </c>
      <c r="G39">
        <v>2</v>
      </c>
      <c r="H39">
        <v>32</v>
      </c>
      <c r="I39" t="s">
        <v>56</v>
      </c>
    </row>
    <row r="40" spans="1:9" x14ac:dyDescent="0.35">
      <c r="A40" s="7">
        <v>39</v>
      </c>
      <c r="B40">
        <v>1</v>
      </c>
      <c r="C40">
        <v>180</v>
      </c>
      <c r="D40">
        <v>690</v>
      </c>
      <c r="E40">
        <v>220</v>
      </c>
      <c r="F40">
        <v>250</v>
      </c>
      <c r="G40">
        <v>2</v>
      </c>
      <c r="H40">
        <v>33</v>
      </c>
      <c r="I40" t="s">
        <v>57</v>
      </c>
    </row>
    <row r="41" spans="1:9" x14ac:dyDescent="0.35">
      <c r="A41" s="7">
        <v>40</v>
      </c>
      <c r="B41">
        <v>1</v>
      </c>
      <c r="C41">
        <v>180</v>
      </c>
      <c r="D41">
        <v>940</v>
      </c>
      <c r="E41">
        <v>220</v>
      </c>
      <c r="F41">
        <v>250</v>
      </c>
      <c r="G41">
        <v>2</v>
      </c>
      <c r="H41">
        <v>34</v>
      </c>
      <c r="I41" t="s">
        <v>58</v>
      </c>
    </row>
    <row r="42" spans="1:9" x14ac:dyDescent="0.35">
      <c r="A42" s="7">
        <v>41</v>
      </c>
      <c r="B42">
        <v>1</v>
      </c>
      <c r="C42">
        <v>180</v>
      </c>
      <c r="D42">
        <v>1190</v>
      </c>
      <c r="E42">
        <v>220</v>
      </c>
      <c r="F42">
        <v>250</v>
      </c>
      <c r="G42">
        <v>2</v>
      </c>
      <c r="H42">
        <v>35</v>
      </c>
      <c r="I42" t="s">
        <v>59</v>
      </c>
    </row>
    <row r="43" spans="1:9" x14ac:dyDescent="0.35">
      <c r="A43" s="7">
        <v>42</v>
      </c>
      <c r="B43">
        <v>1</v>
      </c>
      <c r="C43">
        <v>180</v>
      </c>
      <c r="D43">
        <v>1440</v>
      </c>
      <c r="E43">
        <v>220</v>
      </c>
      <c r="F43">
        <v>250</v>
      </c>
      <c r="G43">
        <v>2</v>
      </c>
      <c r="H43">
        <v>36</v>
      </c>
      <c r="I43" t="s">
        <v>60</v>
      </c>
    </row>
    <row r="44" spans="1:9" x14ac:dyDescent="0.35">
      <c r="A44" s="7">
        <v>43</v>
      </c>
      <c r="B44">
        <v>1</v>
      </c>
      <c r="C44">
        <v>180</v>
      </c>
      <c r="D44">
        <v>1690</v>
      </c>
      <c r="E44">
        <v>220</v>
      </c>
      <c r="F44">
        <v>250</v>
      </c>
      <c r="G44">
        <v>2</v>
      </c>
      <c r="H44">
        <v>37</v>
      </c>
      <c r="I44" t="s">
        <v>61</v>
      </c>
    </row>
    <row r="45" spans="1:9" x14ac:dyDescent="0.35">
      <c r="A45" s="7">
        <v>44</v>
      </c>
      <c r="B45">
        <v>1</v>
      </c>
      <c r="C45">
        <v>180</v>
      </c>
      <c r="D45">
        <v>1940</v>
      </c>
      <c r="E45">
        <v>220</v>
      </c>
      <c r="F45">
        <v>250</v>
      </c>
      <c r="G45">
        <v>2</v>
      </c>
      <c r="H45">
        <v>38</v>
      </c>
      <c r="I45" t="s">
        <v>62</v>
      </c>
    </row>
    <row r="46" spans="1:9" x14ac:dyDescent="0.35">
      <c r="A46" s="7">
        <v>45</v>
      </c>
      <c r="B46">
        <v>1</v>
      </c>
      <c r="C46">
        <v>180</v>
      </c>
      <c r="D46">
        <v>2190</v>
      </c>
      <c r="E46">
        <v>220</v>
      </c>
      <c r="F46">
        <v>250</v>
      </c>
      <c r="G46">
        <v>2</v>
      </c>
      <c r="H46">
        <v>39</v>
      </c>
      <c r="I46" t="s">
        <v>63</v>
      </c>
    </row>
    <row r="47" spans="1:9" x14ac:dyDescent="0.35">
      <c r="A47" s="7">
        <v>46</v>
      </c>
      <c r="B47">
        <v>1</v>
      </c>
      <c r="C47">
        <v>180</v>
      </c>
      <c r="D47">
        <v>2440</v>
      </c>
      <c r="E47">
        <v>220</v>
      </c>
      <c r="F47">
        <v>250</v>
      </c>
      <c r="G47">
        <v>2</v>
      </c>
      <c r="H47">
        <v>40</v>
      </c>
      <c r="I47" t="s">
        <v>64</v>
      </c>
    </row>
    <row r="48" spans="1:9" x14ac:dyDescent="0.35">
      <c r="A48" s="7">
        <v>47</v>
      </c>
      <c r="B48">
        <v>1</v>
      </c>
      <c r="C48">
        <v>180</v>
      </c>
      <c r="D48">
        <v>2690</v>
      </c>
      <c r="E48">
        <v>220</v>
      </c>
      <c r="F48">
        <v>250</v>
      </c>
      <c r="G48">
        <v>2</v>
      </c>
      <c r="H48">
        <v>41</v>
      </c>
      <c r="I48" t="s">
        <v>65</v>
      </c>
    </row>
    <row r="49" spans="1:9" x14ac:dyDescent="0.35">
      <c r="A49" s="7">
        <v>48</v>
      </c>
      <c r="B49">
        <v>1</v>
      </c>
      <c r="C49">
        <v>180</v>
      </c>
      <c r="D49">
        <v>2940</v>
      </c>
      <c r="E49">
        <v>220</v>
      </c>
      <c r="F49">
        <v>250</v>
      </c>
      <c r="G49">
        <v>2</v>
      </c>
      <c r="H49">
        <v>42</v>
      </c>
      <c r="I49" t="s">
        <v>66</v>
      </c>
    </row>
    <row r="50" spans="1:9" x14ac:dyDescent="0.35">
      <c r="A50" s="7">
        <v>49</v>
      </c>
      <c r="B50">
        <v>1</v>
      </c>
      <c r="C50">
        <v>180</v>
      </c>
      <c r="D50">
        <v>3190</v>
      </c>
      <c r="E50">
        <v>220</v>
      </c>
      <c r="F50">
        <v>250</v>
      </c>
      <c r="G50">
        <v>2</v>
      </c>
      <c r="H50">
        <v>43</v>
      </c>
      <c r="I50" t="s">
        <v>67</v>
      </c>
    </row>
    <row r="51" spans="1:9" x14ac:dyDescent="0.35">
      <c r="A51" s="7">
        <v>50</v>
      </c>
      <c r="B51">
        <v>1</v>
      </c>
      <c r="C51">
        <v>180</v>
      </c>
      <c r="D51">
        <v>3440</v>
      </c>
      <c r="E51">
        <v>220</v>
      </c>
      <c r="F51">
        <v>250</v>
      </c>
      <c r="G51">
        <v>2</v>
      </c>
      <c r="H51">
        <v>44</v>
      </c>
      <c r="I51" t="s">
        <v>68</v>
      </c>
    </row>
    <row r="52" spans="1:9" x14ac:dyDescent="0.35">
      <c r="A52" s="7">
        <v>51</v>
      </c>
      <c r="B52">
        <v>1</v>
      </c>
      <c r="C52">
        <v>180</v>
      </c>
      <c r="D52">
        <v>3690</v>
      </c>
      <c r="E52">
        <v>220</v>
      </c>
      <c r="F52">
        <v>250</v>
      </c>
      <c r="G52">
        <v>2</v>
      </c>
      <c r="H52">
        <v>45</v>
      </c>
      <c r="I52" t="s">
        <v>69</v>
      </c>
    </row>
    <row r="53" spans="1:9" x14ac:dyDescent="0.35">
      <c r="A53" s="7">
        <v>52</v>
      </c>
      <c r="B53">
        <v>4</v>
      </c>
      <c r="C53">
        <v>180</v>
      </c>
      <c r="D53">
        <v>3940</v>
      </c>
      <c r="E53">
        <v>220</v>
      </c>
      <c r="F53">
        <v>250</v>
      </c>
      <c r="G53">
        <v>2</v>
      </c>
      <c r="H53">
        <v>2</v>
      </c>
      <c r="I53" t="s">
        <v>70</v>
      </c>
    </row>
    <row r="54" spans="1:9" x14ac:dyDescent="0.35">
      <c r="A54" s="7">
        <v>53</v>
      </c>
      <c r="B54">
        <v>4</v>
      </c>
      <c r="C54">
        <v>90</v>
      </c>
      <c r="D54">
        <v>220</v>
      </c>
      <c r="E54">
        <v>565</v>
      </c>
      <c r="F54">
        <v>250</v>
      </c>
      <c r="G54">
        <v>2</v>
      </c>
      <c r="H54">
        <v>3</v>
      </c>
      <c r="I54" t="s">
        <v>71</v>
      </c>
    </row>
    <row r="55" spans="1:9" x14ac:dyDescent="0.35">
      <c r="A55" s="7">
        <v>54</v>
      </c>
      <c r="B55">
        <v>1</v>
      </c>
      <c r="C55">
        <v>90</v>
      </c>
      <c r="D55">
        <v>220</v>
      </c>
      <c r="E55">
        <v>815</v>
      </c>
      <c r="F55">
        <v>250</v>
      </c>
      <c r="G55">
        <v>2</v>
      </c>
      <c r="H55">
        <v>46</v>
      </c>
      <c r="I55" t="s">
        <v>72</v>
      </c>
    </row>
    <row r="56" spans="1:9" x14ac:dyDescent="0.35">
      <c r="A56" s="7">
        <v>55</v>
      </c>
      <c r="B56">
        <v>1</v>
      </c>
      <c r="C56">
        <v>90</v>
      </c>
      <c r="D56">
        <v>220</v>
      </c>
      <c r="E56">
        <v>1065</v>
      </c>
      <c r="F56">
        <v>250</v>
      </c>
      <c r="G56">
        <v>2</v>
      </c>
      <c r="H56">
        <v>47</v>
      </c>
      <c r="I56" t="s">
        <v>73</v>
      </c>
    </row>
    <row r="57" spans="1:9" x14ac:dyDescent="0.35">
      <c r="A57" s="7">
        <v>56</v>
      </c>
      <c r="B57">
        <v>1</v>
      </c>
      <c r="C57">
        <v>90</v>
      </c>
      <c r="D57">
        <v>220</v>
      </c>
      <c r="E57">
        <v>1315</v>
      </c>
      <c r="F57">
        <v>250</v>
      </c>
      <c r="G57">
        <v>2</v>
      </c>
      <c r="H57">
        <v>48</v>
      </c>
      <c r="I57" t="s">
        <v>74</v>
      </c>
    </row>
    <row r="58" spans="1:9" x14ac:dyDescent="0.35">
      <c r="A58" s="7">
        <v>57</v>
      </c>
      <c r="B58">
        <v>1</v>
      </c>
      <c r="C58">
        <v>90</v>
      </c>
      <c r="D58">
        <v>220</v>
      </c>
      <c r="E58">
        <v>1565</v>
      </c>
      <c r="F58">
        <v>250</v>
      </c>
      <c r="G58">
        <v>2</v>
      </c>
      <c r="H58">
        <v>49</v>
      </c>
      <c r="I58" t="s">
        <v>75</v>
      </c>
    </row>
    <row r="59" spans="1:9" x14ac:dyDescent="0.35">
      <c r="A59" s="7">
        <v>58</v>
      </c>
      <c r="B59">
        <v>1</v>
      </c>
      <c r="C59">
        <v>90</v>
      </c>
      <c r="D59">
        <v>220</v>
      </c>
      <c r="E59">
        <v>1815</v>
      </c>
      <c r="F59">
        <v>250</v>
      </c>
      <c r="G59">
        <v>2</v>
      </c>
      <c r="H59">
        <v>50</v>
      </c>
      <c r="I59" t="s">
        <v>76</v>
      </c>
    </row>
    <row r="60" spans="1:9" x14ac:dyDescent="0.35">
      <c r="A60" s="7">
        <v>59</v>
      </c>
      <c r="B60">
        <v>1</v>
      </c>
      <c r="C60">
        <v>90</v>
      </c>
      <c r="D60">
        <v>220</v>
      </c>
      <c r="E60">
        <v>2065</v>
      </c>
      <c r="F60">
        <v>250</v>
      </c>
      <c r="G60">
        <v>2</v>
      </c>
      <c r="H60">
        <v>51</v>
      </c>
      <c r="I60" t="s">
        <v>77</v>
      </c>
    </row>
    <row r="61" spans="1:9" x14ac:dyDescent="0.35">
      <c r="A61" s="7">
        <v>60</v>
      </c>
      <c r="B61">
        <v>1</v>
      </c>
      <c r="C61">
        <v>90</v>
      </c>
      <c r="D61">
        <v>220</v>
      </c>
      <c r="E61">
        <v>2315</v>
      </c>
      <c r="F61">
        <v>250</v>
      </c>
      <c r="G61">
        <v>2</v>
      </c>
      <c r="H61">
        <v>52</v>
      </c>
      <c r="I61" t="s">
        <v>78</v>
      </c>
    </row>
    <row r="62" spans="1:9" x14ac:dyDescent="0.35">
      <c r="A62" s="7">
        <v>61</v>
      </c>
      <c r="B62">
        <v>1</v>
      </c>
      <c r="C62">
        <v>90</v>
      </c>
      <c r="D62">
        <v>220</v>
      </c>
      <c r="E62">
        <v>2565</v>
      </c>
      <c r="F62">
        <v>250</v>
      </c>
      <c r="G62">
        <v>2</v>
      </c>
      <c r="H62">
        <v>53</v>
      </c>
      <c r="I62" t="s">
        <v>79</v>
      </c>
    </row>
    <row r="63" spans="1:9" x14ac:dyDescent="0.35">
      <c r="A63" s="7">
        <v>62</v>
      </c>
      <c r="B63">
        <v>1</v>
      </c>
      <c r="C63">
        <v>90</v>
      </c>
      <c r="D63">
        <v>220</v>
      </c>
      <c r="E63">
        <v>2815</v>
      </c>
      <c r="F63">
        <v>250</v>
      </c>
      <c r="G63">
        <v>2</v>
      </c>
      <c r="H63">
        <v>54</v>
      </c>
      <c r="I63" t="s">
        <v>80</v>
      </c>
    </row>
    <row r="64" spans="1:9" x14ac:dyDescent="0.35">
      <c r="A64" s="7">
        <v>63</v>
      </c>
      <c r="B64">
        <v>1</v>
      </c>
      <c r="C64">
        <v>90</v>
      </c>
      <c r="D64">
        <v>220</v>
      </c>
      <c r="E64">
        <v>3065</v>
      </c>
      <c r="F64">
        <v>250</v>
      </c>
      <c r="G64">
        <v>2</v>
      </c>
      <c r="H64">
        <v>55</v>
      </c>
      <c r="I64" t="s">
        <v>81</v>
      </c>
    </row>
    <row r="65" spans="1:9" x14ac:dyDescent="0.35">
      <c r="A65" s="7">
        <v>64</v>
      </c>
      <c r="B65">
        <v>1</v>
      </c>
      <c r="C65">
        <v>90</v>
      </c>
      <c r="D65">
        <v>220</v>
      </c>
      <c r="E65">
        <v>3315</v>
      </c>
      <c r="F65">
        <v>250</v>
      </c>
      <c r="G65">
        <v>2</v>
      </c>
      <c r="H65">
        <v>56</v>
      </c>
      <c r="I65" t="s">
        <v>82</v>
      </c>
    </row>
    <row r="66" spans="1:9" x14ac:dyDescent="0.35">
      <c r="A66" s="7">
        <v>65</v>
      </c>
      <c r="B66">
        <v>1</v>
      </c>
      <c r="C66">
        <v>90</v>
      </c>
      <c r="D66">
        <v>220</v>
      </c>
      <c r="E66">
        <v>3565</v>
      </c>
      <c r="F66">
        <v>250</v>
      </c>
      <c r="G66">
        <v>2</v>
      </c>
      <c r="H66">
        <v>57</v>
      </c>
      <c r="I66" t="s">
        <v>83</v>
      </c>
    </row>
    <row r="67" spans="1:9" x14ac:dyDescent="0.35">
      <c r="A67" s="7">
        <v>66</v>
      </c>
      <c r="B67">
        <v>1</v>
      </c>
      <c r="C67">
        <v>90</v>
      </c>
      <c r="D67">
        <v>220</v>
      </c>
      <c r="E67">
        <v>3815</v>
      </c>
      <c r="F67">
        <v>250</v>
      </c>
      <c r="G67">
        <v>2</v>
      </c>
      <c r="H67">
        <v>58</v>
      </c>
      <c r="I67" t="s">
        <v>84</v>
      </c>
    </row>
    <row r="68" spans="1:9" x14ac:dyDescent="0.35">
      <c r="A68" s="7">
        <v>67</v>
      </c>
      <c r="B68">
        <v>1</v>
      </c>
      <c r="C68">
        <v>90</v>
      </c>
      <c r="D68">
        <v>220</v>
      </c>
      <c r="E68">
        <v>4065</v>
      </c>
      <c r="F68">
        <v>250</v>
      </c>
      <c r="G68">
        <v>2</v>
      </c>
      <c r="H68">
        <v>59</v>
      </c>
      <c r="I68" t="s">
        <v>85</v>
      </c>
    </row>
    <row r="69" spans="1:9" x14ac:dyDescent="0.35">
      <c r="A69" s="7">
        <v>68</v>
      </c>
      <c r="B69">
        <v>1</v>
      </c>
      <c r="C69">
        <v>90</v>
      </c>
      <c r="D69">
        <v>220</v>
      </c>
      <c r="E69">
        <v>4315</v>
      </c>
      <c r="F69">
        <v>250</v>
      </c>
      <c r="G69">
        <v>2</v>
      </c>
      <c r="H69">
        <v>60</v>
      </c>
      <c r="I69" t="s">
        <v>86</v>
      </c>
    </row>
    <row r="70" spans="1:9" x14ac:dyDescent="0.35">
      <c r="A70" s="7">
        <v>69</v>
      </c>
      <c r="B70">
        <v>1</v>
      </c>
      <c r="C70">
        <v>90</v>
      </c>
      <c r="D70">
        <v>220</v>
      </c>
      <c r="E70">
        <v>4565</v>
      </c>
      <c r="F70">
        <v>250</v>
      </c>
      <c r="G70">
        <v>2</v>
      </c>
      <c r="H70">
        <v>61</v>
      </c>
      <c r="I70" t="s">
        <v>87</v>
      </c>
    </row>
    <row r="71" spans="1:9" x14ac:dyDescent="0.35">
      <c r="A71" s="7">
        <v>70</v>
      </c>
      <c r="B71">
        <v>2</v>
      </c>
      <c r="C71">
        <v>90</v>
      </c>
      <c r="D71">
        <v>220</v>
      </c>
      <c r="E71">
        <v>95</v>
      </c>
      <c r="F71">
        <v>500</v>
      </c>
      <c r="G71">
        <v>3</v>
      </c>
      <c r="H71">
        <v>3</v>
      </c>
      <c r="I71" t="s">
        <v>88</v>
      </c>
    </row>
    <row r="72" spans="1:9" x14ac:dyDescent="0.35">
      <c r="A72" s="7">
        <v>71</v>
      </c>
      <c r="B72">
        <v>3</v>
      </c>
      <c r="C72">
        <v>90</v>
      </c>
      <c r="D72">
        <v>220</v>
      </c>
      <c r="E72" t="s">
        <v>18</v>
      </c>
      <c r="F72">
        <v>500</v>
      </c>
      <c r="G72">
        <v>3</v>
      </c>
      <c r="H72">
        <v>4</v>
      </c>
      <c r="I72" t="s">
        <v>89</v>
      </c>
    </row>
    <row r="73" spans="1:9" x14ac:dyDescent="0.35">
      <c r="A73" s="7">
        <v>72</v>
      </c>
      <c r="B73">
        <v>1</v>
      </c>
      <c r="C73">
        <v>90</v>
      </c>
      <c r="D73">
        <v>220</v>
      </c>
      <c r="E73">
        <v>440</v>
      </c>
      <c r="F73">
        <v>500</v>
      </c>
      <c r="G73">
        <v>3</v>
      </c>
      <c r="H73">
        <v>62</v>
      </c>
      <c r="I73" t="s">
        <v>90</v>
      </c>
    </row>
    <row r="74" spans="1:9" x14ac:dyDescent="0.35">
      <c r="A74" s="7">
        <v>73</v>
      </c>
      <c r="B74">
        <v>1</v>
      </c>
      <c r="C74">
        <v>90</v>
      </c>
      <c r="D74">
        <v>220</v>
      </c>
      <c r="E74">
        <v>690</v>
      </c>
      <c r="F74">
        <v>500</v>
      </c>
      <c r="G74">
        <v>3</v>
      </c>
      <c r="H74">
        <v>63</v>
      </c>
      <c r="I74" t="s">
        <v>91</v>
      </c>
    </row>
    <row r="75" spans="1:9" x14ac:dyDescent="0.35">
      <c r="A75" s="7">
        <v>74</v>
      </c>
      <c r="B75">
        <v>1</v>
      </c>
      <c r="C75">
        <v>90</v>
      </c>
      <c r="D75">
        <v>220</v>
      </c>
      <c r="E75">
        <v>940</v>
      </c>
      <c r="F75">
        <v>500</v>
      </c>
      <c r="G75">
        <v>3</v>
      </c>
      <c r="H75">
        <v>64</v>
      </c>
      <c r="I75" t="s">
        <v>92</v>
      </c>
    </row>
    <row r="76" spans="1:9" x14ac:dyDescent="0.35">
      <c r="A76" s="7">
        <v>75</v>
      </c>
      <c r="B76">
        <v>1</v>
      </c>
      <c r="C76">
        <v>90</v>
      </c>
      <c r="D76">
        <v>220</v>
      </c>
      <c r="E76">
        <v>1190</v>
      </c>
      <c r="F76">
        <v>500</v>
      </c>
      <c r="G76">
        <v>3</v>
      </c>
      <c r="H76">
        <v>65</v>
      </c>
      <c r="I76" t="s">
        <v>93</v>
      </c>
    </row>
    <row r="77" spans="1:9" x14ac:dyDescent="0.35">
      <c r="A77" s="7">
        <v>76</v>
      </c>
      <c r="B77">
        <v>1</v>
      </c>
      <c r="C77">
        <v>90</v>
      </c>
      <c r="D77">
        <v>220</v>
      </c>
      <c r="E77">
        <v>1440</v>
      </c>
      <c r="F77">
        <v>500</v>
      </c>
      <c r="G77">
        <v>3</v>
      </c>
      <c r="H77">
        <v>66</v>
      </c>
      <c r="I77" t="s">
        <v>94</v>
      </c>
    </row>
    <row r="78" spans="1:9" x14ac:dyDescent="0.35">
      <c r="A78" s="7">
        <v>77</v>
      </c>
      <c r="B78">
        <v>1</v>
      </c>
      <c r="C78">
        <v>90</v>
      </c>
      <c r="D78">
        <v>220</v>
      </c>
      <c r="E78">
        <v>1690</v>
      </c>
      <c r="F78">
        <v>500</v>
      </c>
      <c r="G78">
        <v>3</v>
      </c>
      <c r="H78">
        <v>67</v>
      </c>
      <c r="I78" t="s">
        <v>95</v>
      </c>
    </row>
    <row r="79" spans="1:9" x14ac:dyDescent="0.35">
      <c r="A79" s="7">
        <v>78</v>
      </c>
      <c r="B79">
        <v>1</v>
      </c>
      <c r="C79">
        <v>90</v>
      </c>
      <c r="D79">
        <v>220</v>
      </c>
      <c r="E79">
        <v>1940</v>
      </c>
      <c r="F79">
        <v>500</v>
      </c>
      <c r="G79">
        <v>3</v>
      </c>
      <c r="H79">
        <v>68</v>
      </c>
      <c r="I79" t="s">
        <v>96</v>
      </c>
    </row>
    <row r="80" spans="1:9" x14ac:dyDescent="0.35">
      <c r="A80" s="7">
        <v>79</v>
      </c>
      <c r="B80">
        <v>1</v>
      </c>
      <c r="C80">
        <v>90</v>
      </c>
      <c r="D80">
        <v>220</v>
      </c>
      <c r="E80">
        <v>2190</v>
      </c>
      <c r="F80">
        <v>500</v>
      </c>
      <c r="G80">
        <v>3</v>
      </c>
      <c r="H80">
        <v>69</v>
      </c>
      <c r="I80" t="s">
        <v>97</v>
      </c>
    </row>
    <row r="81" spans="1:9" x14ac:dyDescent="0.35">
      <c r="A81" s="7">
        <v>80</v>
      </c>
      <c r="B81">
        <v>1</v>
      </c>
      <c r="C81">
        <v>90</v>
      </c>
      <c r="D81">
        <v>220</v>
      </c>
      <c r="E81">
        <v>2440</v>
      </c>
      <c r="F81">
        <v>500</v>
      </c>
      <c r="G81">
        <v>3</v>
      </c>
      <c r="H81">
        <v>70</v>
      </c>
      <c r="I81" t="s">
        <v>98</v>
      </c>
    </row>
    <row r="82" spans="1:9" x14ac:dyDescent="0.35">
      <c r="A82" s="7">
        <v>81</v>
      </c>
      <c r="B82">
        <v>1</v>
      </c>
      <c r="C82">
        <v>90</v>
      </c>
      <c r="D82">
        <v>220</v>
      </c>
      <c r="E82">
        <v>2690</v>
      </c>
      <c r="F82">
        <v>500</v>
      </c>
      <c r="G82">
        <v>3</v>
      </c>
      <c r="H82">
        <v>71</v>
      </c>
      <c r="I82" t="s">
        <v>99</v>
      </c>
    </row>
    <row r="83" spans="1:9" x14ac:dyDescent="0.35">
      <c r="A83" s="7">
        <v>82</v>
      </c>
      <c r="B83">
        <v>1</v>
      </c>
      <c r="C83">
        <v>90</v>
      </c>
      <c r="D83">
        <v>220</v>
      </c>
      <c r="E83">
        <v>2940</v>
      </c>
      <c r="F83">
        <v>500</v>
      </c>
      <c r="G83">
        <v>3</v>
      </c>
      <c r="H83">
        <v>72</v>
      </c>
      <c r="I83" t="s">
        <v>100</v>
      </c>
    </row>
    <row r="84" spans="1:9" x14ac:dyDescent="0.35">
      <c r="A84" s="7">
        <v>83</v>
      </c>
      <c r="B84">
        <v>1</v>
      </c>
      <c r="C84">
        <v>90</v>
      </c>
      <c r="D84">
        <v>220</v>
      </c>
      <c r="E84">
        <v>3190</v>
      </c>
      <c r="F84">
        <v>500</v>
      </c>
      <c r="G84">
        <v>3</v>
      </c>
      <c r="H84">
        <v>73</v>
      </c>
      <c r="I84" t="s">
        <v>101</v>
      </c>
    </row>
    <row r="85" spans="1:9" x14ac:dyDescent="0.35">
      <c r="A85" s="7">
        <v>84</v>
      </c>
      <c r="B85">
        <v>1</v>
      </c>
      <c r="C85">
        <v>90</v>
      </c>
      <c r="D85">
        <v>220</v>
      </c>
      <c r="E85">
        <v>3440</v>
      </c>
      <c r="F85">
        <v>500</v>
      </c>
      <c r="G85">
        <v>3</v>
      </c>
      <c r="H85">
        <v>74</v>
      </c>
      <c r="I85" t="s">
        <v>102</v>
      </c>
    </row>
    <row r="86" spans="1:9" x14ac:dyDescent="0.35">
      <c r="A86" s="7">
        <v>85</v>
      </c>
      <c r="B86">
        <v>1</v>
      </c>
      <c r="C86">
        <v>90</v>
      </c>
      <c r="D86">
        <v>220</v>
      </c>
      <c r="E86">
        <v>3690</v>
      </c>
      <c r="F86">
        <v>500</v>
      </c>
      <c r="G86">
        <v>3</v>
      </c>
      <c r="H86">
        <v>75</v>
      </c>
      <c r="I86" t="s">
        <v>103</v>
      </c>
    </row>
    <row r="87" spans="1:9" x14ac:dyDescent="0.35">
      <c r="A87" s="7">
        <v>86</v>
      </c>
      <c r="B87">
        <v>1</v>
      </c>
      <c r="C87">
        <v>90</v>
      </c>
      <c r="D87">
        <v>220</v>
      </c>
      <c r="E87">
        <v>3940</v>
      </c>
      <c r="F87">
        <v>500</v>
      </c>
      <c r="G87">
        <v>3</v>
      </c>
      <c r="H87">
        <v>76</v>
      </c>
      <c r="I87" t="s">
        <v>104</v>
      </c>
    </row>
    <row r="88" spans="1:9" x14ac:dyDescent="0.35">
      <c r="A88" s="7">
        <v>87</v>
      </c>
      <c r="B88">
        <v>1</v>
      </c>
      <c r="C88">
        <v>90</v>
      </c>
      <c r="D88">
        <v>220</v>
      </c>
      <c r="E88">
        <v>4190</v>
      </c>
      <c r="F88">
        <v>500</v>
      </c>
      <c r="G88">
        <v>3</v>
      </c>
      <c r="H88">
        <v>77</v>
      </c>
      <c r="I88" t="s">
        <v>105</v>
      </c>
    </row>
    <row r="89" spans="1:9" x14ac:dyDescent="0.35">
      <c r="A89" s="7">
        <v>88</v>
      </c>
      <c r="B89">
        <v>1</v>
      </c>
      <c r="C89">
        <v>90</v>
      </c>
      <c r="D89">
        <v>220</v>
      </c>
      <c r="E89">
        <v>4440</v>
      </c>
      <c r="F89">
        <v>500</v>
      </c>
      <c r="G89">
        <v>3</v>
      </c>
      <c r="H89">
        <v>78</v>
      </c>
      <c r="I89" t="s">
        <v>106</v>
      </c>
    </row>
    <row r="90" spans="1:9" x14ac:dyDescent="0.35">
      <c r="A90" s="7">
        <v>89</v>
      </c>
      <c r="B90">
        <v>4</v>
      </c>
      <c r="C90">
        <v>0</v>
      </c>
      <c r="D90">
        <v>565</v>
      </c>
      <c r="E90">
        <v>220</v>
      </c>
      <c r="F90">
        <v>500</v>
      </c>
      <c r="G90">
        <v>3</v>
      </c>
      <c r="H90">
        <v>4</v>
      </c>
      <c r="I90" t="s">
        <v>107</v>
      </c>
    </row>
    <row r="91" spans="1:9" x14ac:dyDescent="0.35">
      <c r="A91" s="7">
        <v>90</v>
      </c>
      <c r="B91">
        <v>1</v>
      </c>
      <c r="C91">
        <v>0</v>
      </c>
      <c r="D91">
        <v>815</v>
      </c>
      <c r="E91">
        <v>220</v>
      </c>
      <c r="F91">
        <v>500</v>
      </c>
      <c r="G91">
        <v>3</v>
      </c>
      <c r="H91">
        <v>79</v>
      </c>
      <c r="I91" t="s">
        <v>108</v>
      </c>
    </row>
    <row r="92" spans="1:9" x14ac:dyDescent="0.35">
      <c r="A92" s="7">
        <v>91</v>
      </c>
      <c r="B92">
        <v>1</v>
      </c>
      <c r="C92">
        <v>0</v>
      </c>
      <c r="D92">
        <v>1065</v>
      </c>
      <c r="E92">
        <v>220</v>
      </c>
      <c r="F92">
        <v>500</v>
      </c>
      <c r="G92">
        <v>3</v>
      </c>
      <c r="H92">
        <v>80</v>
      </c>
      <c r="I92" t="s">
        <v>109</v>
      </c>
    </row>
    <row r="93" spans="1:9" x14ac:dyDescent="0.35">
      <c r="A93" s="7">
        <v>92</v>
      </c>
      <c r="B93">
        <v>1</v>
      </c>
      <c r="C93">
        <v>0</v>
      </c>
      <c r="D93">
        <v>1315</v>
      </c>
      <c r="E93">
        <v>220</v>
      </c>
      <c r="F93">
        <v>500</v>
      </c>
      <c r="G93">
        <v>3</v>
      </c>
      <c r="H93">
        <v>81</v>
      </c>
      <c r="I93" t="s">
        <v>110</v>
      </c>
    </row>
    <row r="94" spans="1:9" x14ac:dyDescent="0.35">
      <c r="A94" s="7">
        <v>93</v>
      </c>
      <c r="B94">
        <v>1</v>
      </c>
      <c r="C94">
        <v>0</v>
      </c>
      <c r="D94">
        <v>1565</v>
      </c>
      <c r="E94">
        <v>220</v>
      </c>
      <c r="F94">
        <v>500</v>
      </c>
      <c r="G94">
        <v>3</v>
      </c>
      <c r="H94">
        <v>82</v>
      </c>
      <c r="I94" t="s">
        <v>111</v>
      </c>
    </row>
    <row r="95" spans="1:9" x14ac:dyDescent="0.35">
      <c r="A95" s="7">
        <v>94</v>
      </c>
      <c r="B95">
        <v>1</v>
      </c>
      <c r="C95">
        <v>0</v>
      </c>
      <c r="D95">
        <v>1815</v>
      </c>
      <c r="E95">
        <v>220</v>
      </c>
      <c r="F95">
        <v>500</v>
      </c>
      <c r="G95">
        <v>3</v>
      </c>
      <c r="H95">
        <v>83</v>
      </c>
      <c r="I95" t="s">
        <v>112</v>
      </c>
    </row>
    <row r="96" spans="1:9" x14ac:dyDescent="0.35">
      <c r="A96" s="7">
        <v>95</v>
      </c>
      <c r="B96">
        <v>1</v>
      </c>
      <c r="C96">
        <v>0</v>
      </c>
      <c r="D96">
        <v>2065</v>
      </c>
      <c r="E96">
        <v>220</v>
      </c>
      <c r="F96">
        <v>500</v>
      </c>
      <c r="G96">
        <v>3</v>
      </c>
      <c r="H96">
        <v>84</v>
      </c>
      <c r="I96" t="s">
        <v>113</v>
      </c>
    </row>
    <row r="97" spans="1:9" x14ac:dyDescent="0.35">
      <c r="A97" s="7">
        <v>96</v>
      </c>
      <c r="B97">
        <v>1</v>
      </c>
      <c r="C97">
        <v>0</v>
      </c>
      <c r="D97">
        <v>2315</v>
      </c>
      <c r="E97">
        <v>220</v>
      </c>
      <c r="F97">
        <v>500</v>
      </c>
      <c r="G97">
        <v>3</v>
      </c>
      <c r="H97">
        <v>85</v>
      </c>
      <c r="I97" t="s">
        <v>114</v>
      </c>
    </row>
    <row r="98" spans="1:9" x14ac:dyDescent="0.35">
      <c r="A98" s="7">
        <v>97</v>
      </c>
      <c r="B98">
        <v>1</v>
      </c>
      <c r="C98">
        <v>0</v>
      </c>
      <c r="D98">
        <v>2565</v>
      </c>
      <c r="E98">
        <v>220</v>
      </c>
      <c r="F98">
        <v>500</v>
      </c>
      <c r="G98">
        <v>3</v>
      </c>
      <c r="H98">
        <v>86</v>
      </c>
      <c r="I98" t="s">
        <v>115</v>
      </c>
    </row>
    <row r="99" spans="1:9" x14ac:dyDescent="0.35">
      <c r="A99" s="7">
        <v>98</v>
      </c>
      <c r="B99">
        <v>1</v>
      </c>
      <c r="C99">
        <v>0</v>
      </c>
      <c r="D99">
        <v>2815</v>
      </c>
      <c r="E99">
        <v>220</v>
      </c>
      <c r="F99">
        <v>500</v>
      </c>
      <c r="G99">
        <v>3</v>
      </c>
      <c r="H99">
        <v>87</v>
      </c>
      <c r="I99" t="s">
        <v>116</v>
      </c>
    </row>
    <row r="100" spans="1:9" x14ac:dyDescent="0.35">
      <c r="A100" s="7">
        <v>99</v>
      </c>
      <c r="B100">
        <v>1</v>
      </c>
      <c r="C100">
        <v>0</v>
      </c>
      <c r="D100">
        <v>3065</v>
      </c>
      <c r="E100">
        <v>220</v>
      </c>
      <c r="F100">
        <v>500</v>
      </c>
      <c r="G100">
        <v>3</v>
      </c>
      <c r="H100">
        <v>88</v>
      </c>
      <c r="I100" t="s">
        <v>117</v>
      </c>
    </row>
    <row r="101" spans="1:9" x14ac:dyDescent="0.35">
      <c r="A101" s="7">
        <v>100</v>
      </c>
      <c r="B101">
        <v>1</v>
      </c>
      <c r="C101">
        <v>0</v>
      </c>
      <c r="D101">
        <v>3315</v>
      </c>
      <c r="E101">
        <v>220</v>
      </c>
      <c r="F101">
        <v>500</v>
      </c>
      <c r="G101">
        <v>3</v>
      </c>
      <c r="H101">
        <v>89</v>
      </c>
      <c r="I101" t="s">
        <v>118</v>
      </c>
    </row>
    <row r="102" spans="1:9" x14ac:dyDescent="0.35">
      <c r="A102" s="7">
        <v>101</v>
      </c>
      <c r="B102">
        <v>1</v>
      </c>
      <c r="C102">
        <v>0</v>
      </c>
      <c r="D102">
        <v>3565</v>
      </c>
      <c r="E102">
        <v>220</v>
      </c>
      <c r="F102">
        <v>500</v>
      </c>
      <c r="G102">
        <v>3</v>
      </c>
      <c r="H102">
        <v>90</v>
      </c>
      <c r="I102" t="s">
        <v>119</v>
      </c>
    </row>
    <row r="103" spans="1:9" x14ac:dyDescent="0.35">
      <c r="A103" s="7">
        <v>102</v>
      </c>
      <c r="B103">
        <v>1</v>
      </c>
      <c r="C103">
        <v>0</v>
      </c>
      <c r="D103">
        <v>3815</v>
      </c>
      <c r="E103">
        <v>220</v>
      </c>
      <c r="F103">
        <v>500</v>
      </c>
      <c r="G103">
        <v>3</v>
      </c>
      <c r="H103">
        <v>91</v>
      </c>
      <c r="I103" t="s">
        <v>120</v>
      </c>
    </row>
    <row r="104" spans="1:9" x14ac:dyDescent="0.35">
      <c r="A104" s="7">
        <v>103</v>
      </c>
      <c r="B104">
        <v>3</v>
      </c>
      <c r="C104">
        <v>180</v>
      </c>
      <c r="D104" t="s">
        <v>52</v>
      </c>
      <c r="E104">
        <v>220</v>
      </c>
      <c r="F104">
        <v>500</v>
      </c>
      <c r="G104">
        <v>3</v>
      </c>
      <c r="H104">
        <v>5</v>
      </c>
      <c r="I104" t="s">
        <v>121</v>
      </c>
    </row>
    <row r="105" spans="1:9" x14ac:dyDescent="0.35">
      <c r="A105" s="7">
        <v>104</v>
      </c>
      <c r="B105">
        <v>2</v>
      </c>
      <c r="C105">
        <v>180</v>
      </c>
      <c r="D105">
        <v>95</v>
      </c>
      <c r="E105">
        <v>220</v>
      </c>
      <c r="F105">
        <v>750</v>
      </c>
      <c r="G105">
        <v>4</v>
      </c>
      <c r="H105">
        <v>4</v>
      </c>
      <c r="I105" t="s">
        <v>122</v>
      </c>
    </row>
    <row r="106" spans="1:9" x14ac:dyDescent="0.35">
      <c r="A106" s="7">
        <v>105</v>
      </c>
      <c r="B106">
        <v>3</v>
      </c>
      <c r="C106">
        <v>0</v>
      </c>
      <c r="D106" t="s">
        <v>18</v>
      </c>
      <c r="E106">
        <v>220</v>
      </c>
      <c r="F106">
        <v>750</v>
      </c>
      <c r="G106">
        <v>4</v>
      </c>
      <c r="H106">
        <v>6</v>
      </c>
      <c r="I106" t="s">
        <v>123</v>
      </c>
    </row>
    <row r="107" spans="1:9" x14ac:dyDescent="0.35">
      <c r="A107" s="7">
        <v>106</v>
      </c>
      <c r="B107">
        <v>1</v>
      </c>
      <c r="C107">
        <v>180</v>
      </c>
      <c r="D107">
        <v>440</v>
      </c>
      <c r="E107">
        <v>220</v>
      </c>
      <c r="F107">
        <v>750</v>
      </c>
      <c r="G107">
        <v>4</v>
      </c>
      <c r="H107">
        <v>92</v>
      </c>
      <c r="I107" t="s">
        <v>124</v>
      </c>
    </row>
    <row r="108" spans="1:9" x14ac:dyDescent="0.35">
      <c r="A108" s="7">
        <v>107</v>
      </c>
      <c r="B108">
        <v>1</v>
      </c>
      <c r="C108">
        <v>180</v>
      </c>
      <c r="D108">
        <v>690</v>
      </c>
      <c r="E108">
        <v>220</v>
      </c>
      <c r="F108">
        <v>750</v>
      </c>
      <c r="G108">
        <v>4</v>
      </c>
      <c r="H108">
        <v>93</v>
      </c>
      <c r="I108" t="s">
        <v>125</v>
      </c>
    </row>
    <row r="109" spans="1:9" x14ac:dyDescent="0.35">
      <c r="A109" s="7">
        <v>108</v>
      </c>
      <c r="B109">
        <v>1</v>
      </c>
      <c r="C109">
        <v>180</v>
      </c>
      <c r="D109">
        <v>940</v>
      </c>
      <c r="E109">
        <v>220</v>
      </c>
      <c r="F109">
        <v>750</v>
      </c>
      <c r="G109">
        <v>4</v>
      </c>
      <c r="H109">
        <v>94</v>
      </c>
      <c r="I109" t="s">
        <v>126</v>
      </c>
    </row>
    <row r="110" spans="1:9" x14ac:dyDescent="0.35">
      <c r="A110" s="7">
        <v>109</v>
      </c>
      <c r="B110">
        <v>1</v>
      </c>
      <c r="C110">
        <v>180</v>
      </c>
      <c r="D110">
        <v>1190</v>
      </c>
      <c r="E110">
        <v>220</v>
      </c>
      <c r="F110">
        <v>750</v>
      </c>
      <c r="G110">
        <v>4</v>
      </c>
      <c r="H110">
        <v>95</v>
      </c>
      <c r="I110" t="s">
        <v>127</v>
      </c>
    </row>
    <row r="111" spans="1:9" x14ac:dyDescent="0.35">
      <c r="A111" s="7">
        <v>110</v>
      </c>
      <c r="B111">
        <v>1</v>
      </c>
      <c r="C111">
        <v>180</v>
      </c>
      <c r="D111">
        <v>1440</v>
      </c>
      <c r="E111">
        <v>220</v>
      </c>
      <c r="F111">
        <v>750</v>
      </c>
      <c r="G111">
        <v>4</v>
      </c>
      <c r="H111">
        <v>96</v>
      </c>
      <c r="I111" t="s">
        <v>128</v>
      </c>
    </row>
    <row r="112" spans="1:9" x14ac:dyDescent="0.35">
      <c r="A112" s="7">
        <v>111</v>
      </c>
      <c r="B112">
        <v>1</v>
      </c>
      <c r="C112">
        <v>180</v>
      </c>
      <c r="D112">
        <v>1690</v>
      </c>
      <c r="E112">
        <v>220</v>
      </c>
      <c r="F112">
        <v>750</v>
      </c>
      <c r="G112">
        <v>4</v>
      </c>
      <c r="H112">
        <v>97</v>
      </c>
      <c r="I112" t="s">
        <v>129</v>
      </c>
    </row>
    <row r="113" spans="1:9" x14ac:dyDescent="0.35">
      <c r="A113" s="7">
        <v>112</v>
      </c>
      <c r="B113">
        <v>1</v>
      </c>
      <c r="C113">
        <v>180</v>
      </c>
      <c r="D113">
        <v>1940</v>
      </c>
      <c r="E113">
        <v>220</v>
      </c>
      <c r="F113">
        <v>750</v>
      </c>
      <c r="G113">
        <v>4</v>
      </c>
      <c r="H113">
        <v>98</v>
      </c>
      <c r="I113" t="s">
        <v>130</v>
      </c>
    </row>
    <row r="114" spans="1:9" x14ac:dyDescent="0.35">
      <c r="A114" s="7">
        <v>113</v>
      </c>
      <c r="B114">
        <v>1</v>
      </c>
      <c r="C114">
        <v>180</v>
      </c>
      <c r="D114">
        <v>2190</v>
      </c>
      <c r="E114">
        <v>220</v>
      </c>
      <c r="F114">
        <v>750</v>
      </c>
      <c r="G114">
        <v>4</v>
      </c>
      <c r="H114">
        <v>99</v>
      </c>
      <c r="I114" t="s">
        <v>131</v>
      </c>
    </row>
    <row r="115" spans="1:9" x14ac:dyDescent="0.35">
      <c r="A115" s="7">
        <v>114</v>
      </c>
      <c r="B115">
        <v>1</v>
      </c>
      <c r="C115">
        <v>180</v>
      </c>
      <c r="D115">
        <v>2440</v>
      </c>
      <c r="E115">
        <v>220</v>
      </c>
      <c r="F115">
        <v>750</v>
      </c>
      <c r="G115">
        <v>4</v>
      </c>
      <c r="H115">
        <v>100</v>
      </c>
      <c r="I115" t="s">
        <v>132</v>
      </c>
    </row>
    <row r="116" spans="1:9" x14ac:dyDescent="0.35">
      <c r="A116" s="7">
        <v>115</v>
      </c>
      <c r="B116">
        <v>1</v>
      </c>
      <c r="C116">
        <v>180</v>
      </c>
      <c r="D116">
        <v>2690</v>
      </c>
      <c r="E116">
        <v>220</v>
      </c>
      <c r="F116">
        <v>750</v>
      </c>
      <c r="G116">
        <v>4</v>
      </c>
      <c r="H116">
        <v>101</v>
      </c>
      <c r="I116" t="s">
        <v>133</v>
      </c>
    </row>
    <row r="117" spans="1:9" x14ac:dyDescent="0.35">
      <c r="A117" s="7">
        <v>116</v>
      </c>
      <c r="B117">
        <v>1</v>
      </c>
      <c r="C117">
        <v>180</v>
      </c>
      <c r="D117">
        <v>2940</v>
      </c>
      <c r="E117">
        <v>220</v>
      </c>
      <c r="F117">
        <v>750</v>
      </c>
      <c r="G117">
        <v>4</v>
      </c>
      <c r="H117">
        <v>102</v>
      </c>
      <c r="I117" t="s">
        <v>134</v>
      </c>
    </row>
    <row r="118" spans="1:9" x14ac:dyDescent="0.35">
      <c r="A118" s="7">
        <v>117</v>
      </c>
      <c r="B118">
        <v>1</v>
      </c>
      <c r="C118">
        <v>180</v>
      </c>
      <c r="D118">
        <v>3190</v>
      </c>
      <c r="E118">
        <v>220</v>
      </c>
      <c r="F118">
        <v>750</v>
      </c>
      <c r="G118">
        <v>4</v>
      </c>
      <c r="H118">
        <v>103</v>
      </c>
      <c r="I118" t="s">
        <v>135</v>
      </c>
    </row>
    <row r="119" spans="1:9" x14ac:dyDescent="0.35">
      <c r="A119" s="7">
        <v>118</v>
      </c>
      <c r="B119">
        <v>1</v>
      </c>
      <c r="C119">
        <v>180</v>
      </c>
      <c r="D119">
        <v>3440</v>
      </c>
      <c r="E119">
        <v>220</v>
      </c>
      <c r="F119">
        <v>750</v>
      </c>
      <c r="G119">
        <v>4</v>
      </c>
      <c r="H119">
        <v>104</v>
      </c>
      <c r="I119" t="s">
        <v>136</v>
      </c>
    </row>
    <row r="120" spans="1:9" x14ac:dyDescent="0.35">
      <c r="A120" s="7">
        <v>119</v>
      </c>
      <c r="B120">
        <v>1</v>
      </c>
      <c r="C120">
        <v>180</v>
      </c>
      <c r="D120">
        <v>3690</v>
      </c>
      <c r="E120">
        <v>220</v>
      </c>
      <c r="F120">
        <v>750</v>
      </c>
      <c r="G120">
        <v>4</v>
      </c>
      <c r="H120">
        <v>105</v>
      </c>
      <c r="I120" t="s">
        <v>137</v>
      </c>
    </row>
    <row r="121" spans="1:9" x14ac:dyDescent="0.35">
      <c r="A121" s="7">
        <v>120</v>
      </c>
      <c r="B121">
        <v>4</v>
      </c>
      <c r="C121">
        <v>180</v>
      </c>
      <c r="D121">
        <v>3940</v>
      </c>
      <c r="E121">
        <v>220</v>
      </c>
      <c r="F121">
        <v>750</v>
      </c>
      <c r="G121">
        <v>4</v>
      </c>
      <c r="H121">
        <v>5</v>
      </c>
      <c r="I121" t="s">
        <v>138</v>
      </c>
    </row>
    <row r="122" spans="1:9" x14ac:dyDescent="0.35">
      <c r="A122" s="7">
        <v>121</v>
      </c>
      <c r="B122">
        <v>4</v>
      </c>
      <c r="C122">
        <v>90</v>
      </c>
      <c r="D122">
        <v>220</v>
      </c>
      <c r="E122">
        <v>565</v>
      </c>
      <c r="F122">
        <v>750</v>
      </c>
      <c r="G122">
        <v>4</v>
      </c>
      <c r="H122">
        <v>6</v>
      </c>
      <c r="I122" t="s">
        <v>139</v>
      </c>
    </row>
    <row r="123" spans="1:9" x14ac:dyDescent="0.35">
      <c r="A123" s="7">
        <v>122</v>
      </c>
      <c r="B123">
        <v>1</v>
      </c>
      <c r="C123">
        <v>90</v>
      </c>
      <c r="D123">
        <v>220</v>
      </c>
      <c r="E123">
        <v>815</v>
      </c>
      <c r="F123">
        <v>750</v>
      </c>
      <c r="G123">
        <v>4</v>
      </c>
      <c r="H123">
        <v>106</v>
      </c>
      <c r="I123" t="s">
        <v>140</v>
      </c>
    </row>
    <row r="124" spans="1:9" x14ac:dyDescent="0.35">
      <c r="A124" s="7">
        <v>123</v>
      </c>
      <c r="B124">
        <v>1</v>
      </c>
      <c r="C124">
        <v>90</v>
      </c>
      <c r="D124">
        <v>220</v>
      </c>
      <c r="E124">
        <v>1065</v>
      </c>
      <c r="F124">
        <v>750</v>
      </c>
      <c r="G124">
        <v>4</v>
      </c>
      <c r="H124">
        <v>107</v>
      </c>
      <c r="I124" t="s">
        <v>141</v>
      </c>
    </row>
    <row r="125" spans="1:9" x14ac:dyDescent="0.35">
      <c r="A125" s="7">
        <v>124</v>
      </c>
      <c r="B125">
        <v>1</v>
      </c>
      <c r="C125">
        <v>90</v>
      </c>
      <c r="D125">
        <v>220</v>
      </c>
      <c r="E125">
        <v>1315</v>
      </c>
      <c r="F125">
        <v>750</v>
      </c>
      <c r="G125">
        <v>4</v>
      </c>
      <c r="H125">
        <v>108</v>
      </c>
      <c r="I125" t="s">
        <v>142</v>
      </c>
    </row>
    <row r="126" spans="1:9" x14ac:dyDescent="0.35">
      <c r="A126" s="7">
        <v>125</v>
      </c>
      <c r="B126">
        <v>1</v>
      </c>
      <c r="C126">
        <v>90</v>
      </c>
      <c r="D126">
        <v>220</v>
      </c>
      <c r="E126">
        <v>1565</v>
      </c>
      <c r="F126">
        <v>750</v>
      </c>
      <c r="G126">
        <v>4</v>
      </c>
      <c r="H126">
        <v>109</v>
      </c>
      <c r="I126" t="s">
        <v>143</v>
      </c>
    </row>
    <row r="127" spans="1:9" x14ac:dyDescent="0.35">
      <c r="A127" s="7">
        <v>126</v>
      </c>
      <c r="B127">
        <v>1</v>
      </c>
      <c r="C127">
        <v>90</v>
      </c>
      <c r="D127">
        <v>220</v>
      </c>
      <c r="E127">
        <v>1815</v>
      </c>
      <c r="F127">
        <v>750</v>
      </c>
      <c r="G127">
        <v>4</v>
      </c>
      <c r="H127">
        <v>110</v>
      </c>
      <c r="I127" t="s">
        <v>144</v>
      </c>
    </row>
    <row r="128" spans="1:9" x14ac:dyDescent="0.35">
      <c r="A128" s="7">
        <v>127</v>
      </c>
      <c r="B128">
        <v>1</v>
      </c>
      <c r="C128">
        <v>90</v>
      </c>
      <c r="D128">
        <v>220</v>
      </c>
      <c r="E128">
        <v>2065</v>
      </c>
      <c r="F128">
        <v>750</v>
      </c>
      <c r="G128">
        <v>4</v>
      </c>
      <c r="H128">
        <v>111</v>
      </c>
      <c r="I128" t="s">
        <v>145</v>
      </c>
    </row>
    <row r="129" spans="1:9" x14ac:dyDescent="0.35">
      <c r="A129" s="7">
        <v>128</v>
      </c>
      <c r="B129">
        <v>1</v>
      </c>
      <c r="C129">
        <v>90</v>
      </c>
      <c r="D129">
        <v>220</v>
      </c>
      <c r="E129">
        <v>2315</v>
      </c>
      <c r="F129">
        <v>750</v>
      </c>
      <c r="G129">
        <v>4</v>
      </c>
      <c r="H129">
        <v>112</v>
      </c>
      <c r="I129" t="s">
        <v>146</v>
      </c>
    </row>
    <row r="130" spans="1:9" x14ac:dyDescent="0.35">
      <c r="A130" s="7">
        <v>129</v>
      </c>
      <c r="B130">
        <v>1</v>
      </c>
      <c r="C130">
        <v>90</v>
      </c>
      <c r="D130">
        <v>220</v>
      </c>
      <c r="E130">
        <v>2565</v>
      </c>
      <c r="F130">
        <v>750</v>
      </c>
      <c r="G130">
        <v>4</v>
      </c>
      <c r="H130">
        <v>113</v>
      </c>
      <c r="I130" t="s">
        <v>147</v>
      </c>
    </row>
    <row r="131" spans="1:9" x14ac:dyDescent="0.35">
      <c r="A131" s="7">
        <v>130</v>
      </c>
      <c r="B131">
        <v>1</v>
      </c>
      <c r="C131">
        <v>90</v>
      </c>
      <c r="D131">
        <v>220</v>
      </c>
      <c r="E131">
        <v>2815</v>
      </c>
      <c r="F131">
        <v>750</v>
      </c>
      <c r="G131">
        <v>4</v>
      </c>
      <c r="H131">
        <v>114</v>
      </c>
      <c r="I131" t="s">
        <v>148</v>
      </c>
    </row>
    <row r="132" spans="1:9" x14ac:dyDescent="0.35">
      <c r="A132" s="7">
        <v>131</v>
      </c>
      <c r="B132">
        <v>1</v>
      </c>
      <c r="C132">
        <v>90</v>
      </c>
      <c r="D132">
        <v>220</v>
      </c>
      <c r="E132">
        <v>3065</v>
      </c>
      <c r="F132">
        <v>750</v>
      </c>
      <c r="G132">
        <v>4</v>
      </c>
      <c r="H132">
        <v>115</v>
      </c>
      <c r="I132" t="s">
        <v>149</v>
      </c>
    </row>
    <row r="133" spans="1:9" x14ac:dyDescent="0.35">
      <c r="A133" s="7">
        <v>132</v>
      </c>
      <c r="B133">
        <v>1</v>
      </c>
      <c r="C133">
        <v>90</v>
      </c>
      <c r="D133">
        <v>220</v>
      </c>
      <c r="E133">
        <v>3315</v>
      </c>
      <c r="F133">
        <v>750</v>
      </c>
      <c r="G133">
        <v>4</v>
      </c>
      <c r="H133">
        <v>116</v>
      </c>
      <c r="I133" t="s">
        <v>150</v>
      </c>
    </row>
    <row r="134" spans="1:9" x14ac:dyDescent="0.35">
      <c r="A134" s="7">
        <v>133</v>
      </c>
      <c r="B134">
        <v>1</v>
      </c>
      <c r="C134">
        <v>90</v>
      </c>
      <c r="D134">
        <v>220</v>
      </c>
      <c r="E134">
        <v>3565</v>
      </c>
      <c r="F134">
        <v>750</v>
      </c>
      <c r="G134">
        <v>4</v>
      </c>
      <c r="H134">
        <v>117</v>
      </c>
      <c r="I134" t="s">
        <v>151</v>
      </c>
    </row>
    <row r="135" spans="1:9" x14ac:dyDescent="0.35">
      <c r="A135" s="7">
        <v>134</v>
      </c>
      <c r="B135">
        <v>1</v>
      </c>
      <c r="C135">
        <v>90</v>
      </c>
      <c r="D135">
        <v>220</v>
      </c>
      <c r="E135">
        <v>3815</v>
      </c>
      <c r="F135">
        <v>750</v>
      </c>
      <c r="G135">
        <v>4</v>
      </c>
      <c r="H135">
        <v>118</v>
      </c>
      <c r="I135" t="s">
        <v>152</v>
      </c>
    </row>
    <row r="136" spans="1:9" x14ac:dyDescent="0.35">
      <c r="A136" s="7">
        <v>135</v>
      </c>
      <c r="B136">
        <v>1</v>
      </c>
      <c r="C136">
        <v>90</v>
      </c>
      <c r="D136">
        <v>220</v>
      </c>
      <c r="E136">
        <v>4065</v>
      </c>
      <c r="F136">
        <v>750</v>
      </c>
      <c r="G136">
        <v>4</v>
      </c>
      <c r="H136">
        <v>119</v>
      </c>
      <c r="I136" t="s">
        <v>153</v>
      </c>
    </row>
    <row r="137" spans="1:9" x14ac:dyDescent="0.35">
      <c r="A137" s="7">
        <v>136</v>
      </c>
      <c r="B137">
        <v>1</v>
      </c>
      <c r="C137">
        <v>90</v>
      </c>
      <c r="D137">
        <v>220</v>
      </c>
      <c r="E137">
        <v>4315</v>
      </c>
      <c r="F137">
        <v>750</v>
      </c>
      <c r="G137">
        <v>4</v>
      </c>
      <c r="H137">
        <v>120</v>
      </c>
      <c r="I137" t="s">
        <v>154</v>
      </c>
    </row>
    <row r="138" spans="1:9" x14ac:dyDescent="0.35">
      <c r="A138" s="7">
        <v>137</v>
      </c>
      <c r="B138">
        <v>2</v>
      </c>
      <c r="C138">
        <v>90</v>
      </c>
      <c r="D138">
        <v>220</v>
      </c>
      <c r="E138">
        <v>95</v>
      </c>
      <c r="F138">
        <v>1000</v>
      </c>
      <c r="G138">
        <v>5</v>
      </c>
      <c r="H138">
        <v>5</v>
      </c>
      <c r="I138" t="s">
        <v>155</v>
      </c>
    </row>
    <row r="139" spans="1:9" x14ac:dyDescent="0.35">
      <c r="A139" s="7">
        <v>138</v>
      </c>
      <c r="B139">
        <v>3</v>
      </c>
      <c r="C139">
        <v>90</v>
      </c>
      <c r="D139">
        <v>220</v>
      </c>
      <c r="E139" t="s">
        <v>18</v>
      </c>
      <c r="F139">
        <v>1000</v>
      </c>
      <c r="G139">
        <v>5</v>
      </c>
      <c r="H139">
        <v>7</v>
      </c>
      <c r="I139" t="s">
        <v>156</v>
      </c>
    </row>
    <row r="140" spans="1:9" x14ac:dyDescent="0.35">
      <c r="A140" s="7">
        <v>139</v>
      </c>
      <c r="B140">
        <v>1</v>
      </c>
      <c r="C140">
        <v>90</v>
      </c>
      <c r="D140">
        <v>220</v>
      </c>
      <c r="E140">
        <v>440</v>
      </c>
      <c r="F140">
        <v>1000</v>
      </c>
      <c r="G140">
        <v>5</v>
      </c>
      <c r="H140">
        <v>121</v>
      </c>
      <c r="I140" t="s">
        <v>157</v>
      </c>
    </row>
    <row r="141" spans="1:9" x14ac:dyDescent="0.35">
      <c r="A141" s="7">
        <v>140</v>
      </c>
      <c r="B141">
        <v>1</v>
      </c>
      <c r="C141">
        <v>90</v>
      </c>
      <c r="D141">
        <v>220</v>
      </c>
      <c r="E141">
        <v>690</v>
      </c>
      <c r="F141">
        <v>1000</v>
      </c>
      <c r="G141">
        <v>5</v>
      </c>
      <c r="H141">
        <v>122</v>
      </c>
      <c r="I141" t="s">
        <v>158</v>
      </c>
    </row>
    <row r="142" spans="1:9" x14ac:dyDescent="0.35">
      <c r="A142" s="7">
        <v>141</v>
      </c>
      <c r="B142">
        <v>4</v>
      </c>
      <c r="C142">
        <v>270</v>
      </c>
      <c r="D142">
        <v>220</v>
      </c>
      <c r="E142">
        <v>940</v>
      </c>
      <c r="F142">
        <v>1000</v>
      </c>
      <c r="G142">
        <v>5</v>
      </c>
      <c r="H142">
        <v>7</v>
      </c>
      <c r="I142" t="s">
        <v>159</v>
      </c>
    </row>
    <row r="143" spans="1:9" x14ac:dyDescent="0.35">
      <c r="A143" s="7">
        <v>142</v>
      </c>
      <c r="B143">
        <v>4</v>
      </c>
      <c r="C143">
        <v>90</v>
      </c>
      <c r="D143">
        <v>220</v>
      </c>
      <c r="E143">
        <v>3190</v>
      </c>
      <c r="F143">
        <v>1000</v>
      </c>
      <c r="G143">
        <v>5</v>
      </c>
      <c r="H143">
        <v>8</v>
      </c>
      <c r="I143" t="s">
        <v>160</v>
      </c>
    </row>
    <row r="144" spans="1:9" x14ac:dyDescent="0.35">
      <c r="A144" s="7">
        <v>143</v>
      </c>
      <c r="B144">
        <v>1</v>
      </c>
      <c r="C144">
        <v>90</v>
      </c>
      <c r="D144">
        <v>220</v>
      </c>
      <c r="E144">
        <v>3440</v>
      </c>
      <c r="F144">
        <v>1000</v>
      </c>
      <c r="G144">
        <v>5</v>
      </c>
      <c r="H144">
        <v>123</v>
      </c>
      <c r="I144" t="s">
        <v>161</v>
      </c>
    </row>
    <row r="145" spans="1:9" x14ac:dyDescent="0.35">
      <c r="A145" s="7">
        <v>144</v>
      </c>
      <c r="B145">
        <v>1</v>
      </c>
      <c r="C145">
        <v>90</v>
      </c>
      <c r="D145">
        <v>220</v>
      </c>
      <c r="E145">
        <v>3690</v>
      </c>
      <c r="F145">
        <v>1000</v>
      </c>
      <c r="G145">
        <v>5</v>
      </c>
      <c r="H145">
        <v>124</v>
      </c>
      <c r="I145" t="s">
        <v>162</v>
      </c>
    </row>
    <row r="146" spans="1:9" x14ac:dyDescent="0.35">
      <c r="A146" s="7">
        <v>145</v>
      </c>
      <c r="B146">
        <v>1</v>
      </c>
      <c r="C146">
        <v>90</v>
      </c>
      <c r="D146">
        <v>220</v>
      </c>
      <c r="E146">
        <v>3940</v>
      </c>
      <c r="F146">
        <v>1000</v>
      </c>
      <c r="G146">
        <v>5</v>
      </c>
      <c r="H146">
        <v>125</v>
      </c>
      <c r="I146" t="s">
        <v>163</v>
      </c>
    </row>
    <row r="147" spans="1:9" x14ac:dyDescent="0.35">
      <c r="A147" s="7">
        <v>146</v>
      </c>
      <c r="B147">
        <v>1</v>
      </c>
      <c r="C147">
        <v>90</v>
      </c>
      <c r="D147">
        <v>220</v>
      </c>
      <c r="E147">
        <v>4190</v>
      </c>
      <c r="F147">
        <v>1000</v>
      </c>
      <c r="G147">
        <v>5</v>
      </c>
      <c r="H147">
        <v>126</v>
      </c>
      <c r="I147" t="s">
        <v>164</v>
      </c>
    </row>
    <row r="148" spans="1:9" x14ac:dyDescent="0.35">
      <c r="A148" s="7">
        <v>147</v>
      </c>
      <c r="B148">
        <v>4</v>
      </c>
      <c r="C148">
        <v>0</v>
      </c>
      <c r="D148">
        <v>565</v>
      </c>
      <c r="E148">
        <v>220</v>
      </c>
      <c r="F148">
        <v>1000</v>
      </c>
      <c r="G148">
        <v>5</v>
      </c>
      <c r="H148">
        <v>9</v>
      </c>
      <c r="I148" t="s">
        <v>165</v>
      </c>
    </row>
    <row r="149" spans="1:9" x14ac:dyDescent="0.35">
      <c r="A149" s="7">
        <v>148</v>
      </c>
      <c r="B149">
        <v>1</v>
      </c>
      <c r="C149">
        <v>0</v>
      </c>
      <c r="D149">
        <v>815</v>
      </c>
      <c r="E149">
        <v>220</v>
      </c>
      <c r="F149">
        <v>1000</v>
      </c>
      <c r="G149">
        <v>5</v>
      </c>
      <c r="H149">
        <v>127</v>
      </c>
      <c r="I149" t="s">
        <v>166</v>
      </c>
    </row>
    <row r="150" spans="1:9" x14ac:dyDescent="0.35">
      <c r="A150" s="7">
        <v>149</v>
      </c>
      <c r="B150">
        <v>1</v>
      </c>
      <c r="C150">
        <v>0</v>
      </c>
      <c r="D150">
        <v>1065</v>
      </c>
      <c r="E150">
        <v>220</v>
      </c>
      <c r="F150">
        <v>1000</v>
      </c>
      <c r="G150">
        <v>5</v>
      </c>
      <c r="H150">
        <v>128</v>
      </c>
      <c r="I150" t="s">
        <v>167</v>
      </c>
    </row>
    <row r="151" spans="1:9" x14ac:dyDescent="0.35">
      <c r="A151" s="7">
        <v>150</v>
      </c>
      <c r="B151">
        <v>1</v>
      </c>
      <c r="C151">
        <v>0</v>
      </c>
      <c r="D151">
        <v>1315</v>
      </c>
      <c r="E151">
        <v>220</v>
      </c>
      <c r="F151">
        <v>1000</v>
      </c>
      <c r="G151">
        <v>5</v>
      </c>
      <c r="H151">
        <v>129</v>
      </c>
      <c r="I151" t="s">
        <v>168</v>
      </c>
    </row>
    <row r="152" spans="1:9" x14ac:dyDescent="0.35">
      <c r="A152" s="7">
        <v>151</v>
      </c>
      <c r="B152">
        <v>1</v>
      </c>
      <c r="C152">
        <v>0</v>
      </c>
      <c r="D152">
        <v>1565</v>
      </c>
      <c r="E152">
        <v>220</v>
      </c>
      <c r="F152">
        <v>1000</v>
      </c>
      <c r="G152">
        <v>5</v>
      </c>
      <c r="H152">
        <v>130</v>
      </c>
      <c r="I152" t="s">
        <v>169</v>
      </c>
    </row>
    <row r="153" spans="1:9" x14ac:dyDescent="0.35">
      <c r="A153" s="7">
        <v>152</v>
      </c>
      <c r="B153">
        <v>1</v>
      </c>
      <c r="C153">
        <v>0</v>
      </c>
      <c r="D153">
        <v>1815</v>
      </c>
      <c r="E153">
        <v>220</v>
      </c>
      <c r="F153">
        <v>1000</v>
      </c>
      <c r="G153">
        <v>5</v>
      </c>
      <c r="H153">
        <v>131</v>
      </c>
      <c r="I153" t="s">
        <v>170</v>
      </c>
    </row>
    <row r="154" spans="1:9" x14ac:dyDescent="0.35">
      <c r="A154" s="7">
        <v>153</v>
      </c>
      <c r="B154">
        <v>1</v>
      </c>
      <c r="C154">
        <v>0</v>
      </c>
      <c r="D154">
        <v>2065</v>
      </c>
      <c r="E154">
        <v>220</v>
      </c>
      <c r="F154">
        <v>1000</v>
      </c>
      <c r="G154">
        <v>5</v>
      </c>
      <c r="H154">
        <v>132</v>
      </c>
      <c r="I154" t="s">
        <v>171</v>
      </c>
    </row>
    <row r="155" spans="1:9" x14ac:dyDescent="0.35">
      <c r="A155" s="7">
        <v>154</v>
      </c>
      <c r="B155">
        <v>1</v>
      </c>
      <c r="C155">
        <v>0</v>
      </c>
      <c r="D155">
        <v>2315</v>
      </c>
      <c r="E155">
        <v>220</v>
      </c>
      <c r="F155">
        <v>1000</v>
      </c>
      <c r="G155">
        <v>5</v>
      </c>
      <c r="H155">
        <v>133</v>
      </c>
      <c r="I155" t="s">
        <v>172</v>
      </c>
    </row>
    <row r="156" spans="1:9" x14ac:dyDescent="0.35">
      <c r="A156" s="7">
        <v>155</v>
      </c>
      <c r="B156">
        <v>1</v>
      </c>
      <c r="C156">
        <v>0</v>
      </c>
      <c r="D156">
        <v>2565</v>
      </c>
      <c r="E156">
        <v>220</v>
      </c>
      <c r="F156">
        <v>1000</v>
      </c>
      <c r="G156">
        <v>5</v>
      </c>
      <c r="H156">
        <v>134</v>
      </c>
      <c r="I156" t="s">
        <v>173</v>
      </c>
    </row>
    <row r="157" spans="1:9" x14ac:dyDescent="0.35">
      <c r="A157" s="7">
        <v>156</v>
      </c>
      <c r="B157">
        <v>1</v>
      </c>
      <c r="C157">
        <v>0</v>
      </c>
      <c r="D157">
        <v>2815</v>
      </c>
      <c r="E157">
        <v>220</v>
      </c>
      <c r="F157">
        <v>1000</v>
      </c>
      <c r="G157">
        <v>5</v>
      </c>
      <c r="H157">
        <v>135</v>
      </c>
      <c r="I157" t="s">
        <v>174</v>
      </c>
    </row>
    <row r="158" spans="1:9" x14ac:dyDescent="0.35">
      <c r="A158" s="7">
        <v>157</v>
      </c>
      <c r="B158">
        <v>1</v>
      </c>
      <c r="C158">
        <v>0</v>
      </c>
      <c r="D158">
        <v>3065</v>
      </c>
      <c r="E158">
        <v>220</v>
      </c>
      <c r="F158">
        <v>1000</v>
      </c>
      <c r="G158">
        <v>5</v>
      </c>
      <c r="H158">
        <v>136</v>
      </c>
      <c r="I158" t="s">
        <v>175</v>
      </c>
    </row>
    <row r="159" spans="1:9" x14ac:dyDescent="0.35">
      <c r="A159" s="7">
        <v>158</v>
      </c>
      <c r="B159">
        <v>1</v>
      </c>
      <c r="C159">
        <v>0</v>
      </c>
      <c r="D159">
        <v>3315</v>
      </c>
      <c r="E159">
        <v>220</v>
      </c>
      <c r="F159">
        <v>1000</v>
      </c>
      <c r="G159">
        <v>5</v>
      </c>
      <c r="H159">
        <v>137</v>
      </c>
      <c r="I159" t="s">
        <v>176</v>
      </c>
    </row>
    <row r="160" spans="1:9" x14ac:dyDescent="0.35">
      <c r="A160" s="7">
        <v>159</v>
      </c>
      <c r="B160">
        <v>1</v>
      </c>
      <c r="C160">
        <v>0</v>
      </c>
      <c r="D160">
        <v>3565</v>
      </c>
      <c r="E160">
        <v>220</v>
      </c>
      <c r="F160">
        <v>1000</v>
      </c>
      <c r="G160">
        <v>5</v>
      </c>
      <c r="H160">
        <v>138</v>
      </c>
      <c r="I160" t="s">
        <v>177</v>
      </c>
    </row>
    <row r="161" spans="1:9" x14ac:dyDescent="0.35">
      <c r="A161" s="7">
        <v>160</v>
      </c>
      <c r="B161">
        <v>1</v>
      </c>
      <c r="C161">
        <v>0</v>
      </c>
      <c r="D161">
        <v>3815</v>
      </c>
      <c r="E161">
        <v>220</v>
      </c>
      <c r="F161">
        <v>1000</v>
      </c>
      <c r="G161">
        <v>5</v>
      </c>
      <c r="H161">
        <v>139</v>
      </c>
      <c r="I161" t="s">
        <v>178</v>
      </c>
    </row>
    <row r="162" spans="1:9" x14ac:dyDescent="0.35">
      <c r="A162" s="7">
        <v>161</v>
      </c>
      <c r="B162">
        <v>3</v>
      </c>
      <c r="C162">
        <v>180</v>
      </c>
      <c r="D162" t="s">
        <v>52</v>
      </c>
      <c r="E162">
        <v>220</v>
      </c>
      <c r="F162">
        <v>1000</v>
      </c>
      <c r="G162">
        <v>5</v>
      </c>
      <c r="H162">
        <v>8</v>
      </c>
      <c r="I162" t="s">
        <v>179</v>
      </c>
    </row>
    <row r="163" spans="1:9" x14ac:dyDescent="0.35">
      <c r="A163" s="7">
        <v>162</v>
      </c>
      <c r="B163">
        <v>2</v>
      </c>
      <c r="C163">
        <v>180</v>
      </c>
      <c r="D163">
        <v>95</v>
      </c>
      <c r="E163">
        <v>220</v>
      </c>
      <c r="F163">
        <v>1250</v>
      </c>
      <c r="G163">
        <v>6</v>
      </c>
      <c r="H163">
        <v>6</v>
      </c>
      <c r="I163" t="s">
        <v>180</v>
      </c>
    </row>
    <row r="164" spans="1:9" x14ac:dyDescent="0.35">
      <c r="A164" s="7">
        <v>163</v>
      </c>
      <c r="B164">
        <v>3</v>
      </c>
      <c r="C164">
        <v>0</v>
      </c>
      <c r="D164" t="s">
        <v>18</v>
      </c>
      <c r="E164">
        <v>220</v>
      </c>
      <c r="F164">
        <v>1250</v>
      </c>
      <c r="G164">
        <v>6</v>
      </c>
      <c r="H164">
        <v>9</v>
      </c>
      <c r="I164" t="s">
        <v>181</v>
      </c>
    </row>
    <row r="165" spans="1:9" x14ac:dyDescent="0.35">
      <c r="A165" s="7">
        <v>164</v>
      </c>
      <c r="B165">
        <v>1</v>
      </c>
      <c r="C165">
        <v>180</v>
      </c>
      <c r="D165">
        <v>440</v>
      </c>
      <c r="E165">
        <v>220</v>
      </c>
      <c r="F165">
        <v>1250</v>
      </c>
      <c r="G165">
        <v>6</v>
      </c>
      <c r="H165">
        <v>140</v>
      </c>
      <c r="I165" t="s">
        <v>182</v>
      </c>
    </row>
    <row r="166" spans="1:9" x14ac:dyDescent="0.35">
      <c r="A166" s="7">
        <v>165</v>
      </c>
      <c r="B166">
        <v>1</v>
      </c>
      <c r="C166">
        <v>180</v>
      </c>
      <c r="D166">
        <v>690</v>
      </c>
      <c r="E166">
        <v>220</v>
      </c>
      <c r="F166">
        <v>1250</v>
      </c>
      <c r="G166">
        <v>6</v>
      </c>
      <c r="H166">
        <v>141</v>
      </c>
      <c r="I166" t="s">
        <v>183</v>
      </c>
    </row>
    <row r="167" spans="1:9" x14ac:dyDescent="0.35">
      <c r="A167" s="7">
        <v>166</v>
      </c>
      <c r="B167">
        <v>1</v>
      </c>
      <c r="C167">
        <v>180</v>
      </c>
      <c r="D167">
        <v>940</v>
      </c>
      <c r="E167">
        <v>220</v>
      </c>
      <c r="F167">
        <v>1250</v>
      </c>
      <c r="G167">
        <v>6</v>
      </c>
      <c r="H167">
        <v>142</v>
      </c>
      <c r="I167" t="s">
        <v>184</v>
      </c>
    </row>
    <row r="168" spans="1:9" x14ac:dyDescent="0.35">
      <c r="A168" s="7">
        <v>167</v>
      </c>
      <c r="B168">
        <v>1</v>
      </c>
      <c r="C168">
        <v>180</v>
      </c>
      <c r="D168">
        <v>1190</v>
      </c>
      <c r="E168">
        <v>220</v>
      </c>
      <c r="F168">
        <v>1250</v>
      </c>
      <c r="G168">
        <v>6</v>
      </c>
      <c r="H168">
        <v>143</v>
      </c>
      <c r="I168" t="s">
        <v>185</v>
      </c>
    </row>
    <row r="169" spans="1:9" x14ac:dyDescent="0.35">
      <c r="A169" s="7">
        <v>168</v>
      </c>
      <c r="B169">
        <v>1</v>
      </c>
      <c r="C169">
        <v>180</v>
      </c>
      <c r="D169">
        <v>1440</v>
      </c>
      <c r="E169">
        <v>220</v>
      </c>
      <c r="F169">
        <v>1250</v>
      </c>
      <c r="G169">
        <v>6</v>
      </c>
      <c r="H169">
        <v>144</v>
      </c>
      <c r="I169" t="s">
        <v>186</v>
      </c>
    </row>
    <row r="170" spans="1:9" x14ac:dyDescent="0.35">
      <c r="A170" s="7">
        <v>169</v>
      </c>
      <c r="B170">
        <v>1</v>
      </c>
      <c r="C170">
        <v>180</v>
      </c>
      <c r="D170">
        <v>1690</v>
      </c>
      <c r="E170">
        <v>220</v>
      </c>
      <c r="F170">
        <v>1250</v>
      </c>
      <c r="G170">
        <v>6</v>
      </c>
      <c r="H170">
        <v>145</v>
      </c>
      <c r="I170" t="s">
        <v>187</v>
      </c>
    </row>
    <row r="171" spans="1:9" x14ac:dyDescent="0.35">
      <c r="A171" s="7">
        <v>170</v>
      </c>
      <c r="B171">
        <v>1</v>
      </c>
      <c r="C171">
        <v>180</v>
      </c>
      <c r="D171">
        <v>1940</v>
      </c>
      <c r="E171">
        <v>220</v>
      </c>
      <c r="F171">
        <v>1250</v>
      </c>
      <c r="G171">
        <v>6</v>
      </c>
      <c r="H171">
        <v>146</v>
      </c>
      <c r="I171" t="s">
        <v>188</v>
      </c>
    </row>
    <row r="172" spans="1:9" x14ac:dyDescent="0.35">
      <c r="A172" s="7">
        <v>171</v>
      </c>
      <c r="B172">
        <v>1</v>
      </c>
      <c r="C172">
        <v>180</v>
      </c>
      <c r="D172">
        <v>2190</v>
      </c>
      <c r="E172">
        <v>220</v>
      </c>
      <c r="F172">
        <v>1250</v>
      </c>
      <c r="G172">
        <v>6</v>
      </c>
      <c r="H172">
        <v>147</v>
      </c>
      <c r="I172" t="s">
        <v>189</v>
      </c>
    </row>
    <row r="173" spans="1:9" x14ac:dyDescent="0.35">
      <c r="A173" s="7">
        <v>172</v>
      </c>
      <c r="B173">
        <v>1</v>
      </c>
      <c r="C173">
        <v>180</v>
      </c>
      <c r="D173">
        <v>2440</v>
      </c>
      <c r="E173">
        <v>220</v>
      </c>
      <c r="F173">
        <v>1250</v>
      </c>
      <c r="G173">
        <v>6</v>
      </c>
      <c r="H173">
        <v>148</v>
      </c>
      <c r="I173" t="s">
        <v>190</v>
      </c>
    </row>
    <row r="174" spans="1:9" x14ac:dyDescent="0.35">
      <c r="A174" s="7">
        <v>173</v>
      </c>
      <c r="B174">
        <v>1</v>
      </c>
      <c r="C174">
        <v>180</v>
      </c>
      <c r="D174">
        <v>2690</v>
      </c>
      <c r="E174">
        <v>220</v>
      </c>
      <c r="F174">
        <v>1250</v>
      </c>
      <c r="G174">
        <v>6</v>
      </c>
      <c r="H174">
        <v>149</v>
      </c>
      <c r="I174" t="s">
        <v>191</v>
      </c>
    </row>
    <row r="175" spans="1:9" x14ac:dyDescent="0.35">
      <c r="A175" s="7">
        <v>174</v>
      </c>
      <c r="B175">
        <v>1</v>
      </c>
      <c r="C175">
        <v>180</v>
      </c>
      <c r="D175">
        <v>2940</v>
      </c>
      <c r="E175">
        <v>220</v>
      </c>
      <c r="F175">
        <v>1250</v>
      </c>
      <c r="G175">
        <v>6</v>
      </c>
      <c r="H175">
        <v>150</v>
      </c>
      <c r="I175" t="s">
        <v>192</v>
      </c>
    </row>
    <row r="176" spans="1:9" x14ac:dyDescent="0.35">
      <c r="A176" s="7">
        <v>175</v>
      </c>
      <c r="B176">
        <v>1</v>
      </c>
      <c r="C176">
        <v>180</v>
      </c>
      <c r="D176">
        <v>3190</v>
      </c>
      <c r="E176">
        <v>220</v>
      </c>
      <c r="F176">
        <v>1250</v>
      </c>
      <c r="G176">
        <v>6</v>
      </c>
      <c r="H176">
        <v>151</v>
      </c>
      <c r="I176" t="s">
        <v>193</v>
      </c>
    </row>
    <row r="177" spans="1:9" x14ac:dyDescent="0.35">
      <c r="A177" s="7">
        <v>176</v>
      </c>
      <c r="B177">
        <v>1</v>
      </c>
      <c r="C177">
        <v>180</v>
      </c>
      <c r="D177">
        <v>3440</v>
      </c>
      <c r="E177">
        <v>220</v>
      </c>
      <c r="F177">
        <v>1250</v>
      </c>
      <c r="G177">
        <v>6</v>
      </c>
      <c r="H177">
        <v>152</v>
      </c>
      <c r="I177" t="s">
        <v>194</v>
      </c>
    </row>
    <row r="178" spans="1:9" x14ac:dyDescent="0.35">
      <c r="A178" s="7">
        <v>177</v>
      </c>
      <c r="B178">
        <v>1</v>
      </c>
      <c r="C178">
        <v>180</v>
      </c>
      <c r="D178">
        <v>3690</v>
      </c>
      <c r="E178">
        <v>220</v>
      </c>
      <c r="F178">
        <v>1250</v>
      </c>
      <c r="G178">
        <v>6</v>
      </c>
      <c r="H178">
        <v>153</v>
      </c>
      <c r="I178" t="s">
        <v>195</v>
      </c>
    </row>
    <row r="179" spans="1:9" x14ac:dyDescent="0.35">
      <c r="A179" s="7">
        <v>178</v>
      </c>
      <c r="B179">
        <v>4</v>
      </c>
      <c r="C179">
        <v>180</v>
      </c>
      <c r="D179">
        <v>3940</v>
      </c>
      <c r="E179">
        <v>220</v>
      </c>
      <c r="F179">
        <v>1250</v>
      </c>
      <c r="G179">
        <v>6</v>
      </c>
      <c r="H179">
        <v>10</v>
      </c>
      <c r="I179" t="s">
        <v>196</v>
      </c>
    </row>
    <row r="180" spans="1:9" x14ac:dyDescent="0.35">
      <c r="A180" s="7">
        <v>179</v>
      </c>
      <c r="B180">
        <v>4</v>
      </c>
      <c r="C180">
        <v>90</v>
      </c>
      <c r="D180">
        <v>220</v>
      </c>
      <c r="E180">
        <v>565</v>
      </c>
      <c r="F180">
        <v>1250</v>
      </c>
      <c r="G180">
        <v>6</v>
      </c>
      <c r="H180">
        <v>11</v>
      </c>
      <c r="I180" t="s">
        <v>197</v>
      </c>
    </row>
    <row r="181" spans="1:9" x14ac:dyDescent="0.35">
      <c r="A181" s="7">
        <v>180</v>
      </c>
      <c r="B181">
        <v>1</v>
      </c>
      <c r="C181">
        <v>90</v>
      </c>
      <c r="D181">
        <v>220</v>
      </c>
      <c r="E181">
        <v>815</v>
      </c>
      <c r="F181">
        <v>1250</v>
      </c>
      <c r="G181">
        <v>6</v>
      </c>
      <c r="H181">
        <v>154</v>
      </c>
      <c r="I181" t="s">
        <v>198</v>
      </c>
    </row>
    <row r="182" spans="1:9" x14ac:dyDescent="0.35">
      <c r="A182" s="7">
        <v>181</v>
      </c>
      <c r="B182">
        <v>3</v>
      </c>
      <c r="C182">
        <v>270</v>
      </c>
      <c r="D182">
        <v>220</v>
      </c>
      <c r="E182" t="s">
        <v>199</v>
      </c>
      <c r="F182">
        <v>1250</v>
      </c>
      <c r="G182">
        <v>6</v>
      </c>
      <c r="H182">
        <v>10</v>
      </c>
      <c r="I182" t="s">
        <v>200</v>
      </c>
    </row>
    <row r="183" spans="1:9" x14ac:dyDescent="0.35">
      <c r="A183" s="7">
        <v>182</v>
      </c>
      <c r="B183">
        <v>3</v>
      </c>
      <c r="C183">
        <v>90</v>
      </c>
      <c r="D183">
        <v>220</v>
      </c>
      <c r="E183" t="s">
        <v>201</v>
      </c>
      <c r="F183">
        <v>1250</v>
      </c>
      <c r="G183">
        <v>6</v>
      </c>
      <c r="H183">
        <v>11</v>
      </c>
      <c r="I183" t="s">
        <v>202</v>
      </c>
    </row>
    <row r="184" spans="1:9" x14ac:dyDescent="0.35">
      <c r="A184" s="7">
        <v>183</v>
      </c>
      <c r="B184">
        <v>1</v>
      </c>
      <c r="C184">
        <v>90</v>
      </c>
      <c r="D184">
        <v>220</v>
      </c>
      <c r="E184">
        <v>3315</v>
      </c>
      <c r="F184">
        <v>1250</v>
      </c>
      <c r="G184">
        <v>6</v>
      </c>
      <c r="H184">
        <v>155</v>
      </c>
      <c r="I184" t="s">
        <v>203</v>
      </c>
    </row>
    <row r="185" spans="1:9" x14ac:dyDescent="0.35">
      <c r="A185" s="7">
        <v>184</v>
      </c>
      <c r="B185">
        <v>1</v>
      </c>
      <c r="C185">
        <v>90</v>
      </c>
      <c r="D185">
        <v>220</v>
      </c>
      <c r="E185">
        <v>3565</v>
      </c>
      <c r="F185">
        <v>1250</v>
      </c>
      <c r="G185">
        <v>6</v>
      </c>
      <c r="H185">
        <v>156</v>
      </c>
      <c r="I185" t="s">
        <v>204</v>
      </c>
    </row>
    <row r="186" spans="1:9" x14ac:dyDescent="0.35">
      <c r="A186" s="7">
        <v>185</v>
      </c>
      <c r="B186">
        <v>1</v>
      </c>
      <c r="C186">
        <v>90</v>
      </c>
      <c r="D186">
        <v>220</v>
      </c>
      <c r="E186">
        <v>3815</v>
      </c>
      <c r="F186">
        <v>1250</v>
      </c>
      <c r="G186">
        <v>6</v>
      </c>
      <c r="H186">
        <v>157</v>
      </c>
      <c r="I186" t="s">
        <v>205</v>
      </c>
    </row>
    <row r="187" spans="1:9" x14ac:dyDescent="0.35">
      <c r="A187" s="7">
        <v>186</v>
      </c>
      <c r="B187">
        <v>1</v>
      </c>
      <c r="C187">
        <v>90</v>
      </c>
      <c r="D187">
        <v>220</v>
      </c>
      <c r="E187">
        <v>4065</v>
      </c>
      <c r="F187">
        <v>1250</v>
      </c>
      <c r="G187">
        <v>6</v>
      </c>
      <c r="H187">
        <v>158</v>
      </c>
      <c r="I187" t="s">
        <v>206</v>
      </c>
    </row>
    <row r="188" spans="1:9" x14ac:dyDescent="0.35">
      <c r="A188" s="7">
        <v>187</v>
      </c>
      <c r="B188">
        <v>2</v>
      </c>
      <c r="C188">
        <v>90</v>
      </c>
      <c r="D188">
        <v>220</v>
      </c>
      <c r="E188">
        <v>95</v>
      </c>
      <c r="F188">
        <v>1500</v>
      </c>
      <c r="G188">
        <v>7</v>
      </c>
      <c r="H188">
        <v>7</v>
      </c>
      <c r="I188" t="s">
        <v>207</v>
      </c>
    </row>
    <row r="189" spans="1:9" x14ac:dyDescent="0.35">
      <c r="A189" s="7">
        <v>188</v>
      </c>
      <c r="B189">
        <v>3</v>
      </c>
      <c r="C189">
        <v>90</v>
      </c>
      <c r="D189">
        <v>220</v>
      </c>
      <c r="E189" t="s">
        <v>18</v>
      </c>
      <c r="F189">
        <v>1500</v>
      </c>
      <c r="G189">
        <v>7</v>
      </c>
      <c r="H189">
        <v>12</v>
      </c>
      <c r="I189" t="s">
        <v>208</v>
      </c>
    </row>
    <row r="190" spans="1:9" x14ac:dyDescent="0.35">
      <c r="A190" s="7">
        <v>189</v>
      </c>
      <c r="B190">
        <v>1</v>
      </c>
      <c r="C190">
        <v>90</v>
      </c>
      <c r="D190">
        <v>220</v>
      </c>
      <c r="E190">
        <v>440</v>
      </c>
      <c r="F190">
        <v>1500</v>
      </c>
      <c r="G190">
        <v>7</v>
      </c>
      <c r="H190">
        <v>159</v>
      </c>
      <c r="I190" t="s">
        <v>209</v>
      </c>
    </row>
    <row r="191" spans="1:9" x14ac:dyDescent="0.35">
      <c r="A191" s="7">
        <v>190</v>
      </c>
      <c r="B191">
        <v>1</v>
      </c>
      <c r="C191">
        <v>90</v>
      </c>
      <c r="D191">
        <v>220</v>
      </c>
      <c r="E191">
        <v>690</v>
      </c>
      <c r="F191">
        <v>1500</v>
      </c>
      <c r="G191">
        <v>7</v>
      </c>
      <c r="H191">
        <v>160</v>
      </c>
      <c r="I191" t="s">
        <v>210</v>
      </c>
    </row>
    <row r="192" spans="1:9" x14ac:dyDescent="0.35">
      <c r="A192" s="7">
        <v>191</v>
      </c>
      <c r="B192">
        <v>4</v>
      </c>
      <c r="C192">
        <v>270</v>
      </c>
      <c r="D192">
        <v>220</v>
      </c>
      <c r="E192">
        <v>940</v>
      </c>
      <c r="F192">
        <v>1500</v>
      </c>
      <c r="G192">
        <v>7</v>
      </c>
      <c r="H192">
        <v>12</v>
      </c>
      <c r="I192" t="s">
        <v>211</v>
      </c>
    </row>
    <row r="193" spans="1:9" x14ac:dyDescent="0.35">
      <c r="A193" s="7">
        <v>192</v>
      </c>
      <c r="B193">
        <v>4</v>
      </c>
      <c r="C193">
        <v>90</v>
      </c>
      <c r="D193">
        <v>220</v>
      </c>
      <c r="E193">
        <v>3190</v>
      </c>
      <c r="F193">
        <v>1500</v>
      </c>
      <c r="G193">
        <v>7</v>
      </c>
      <c r="H193">
        <v>13</v>
      </c>
      <c r="I193" t="s">
        <v>212</v>
      </c>
    </row>
    <row r="194" spans="1:9" x14ac:dyDescent="0.35">
      <c r="A194" s="7">
        <v>193</v>
      </c>
      <c r="B194">
        <v>1</v>
      </c>
      <c r="C194">
        <v>90</v>
      </c>
      <c r="D194">
        <v>220</v>
      </c>
      <c r="E194">
        <v>3440</v>
      </c>
      <c r="F194">
        <v>1500</v>
      </c>
      <c r="G194">
        <v>7</v>
      </c>
      <c r="H194">
        <v>161</v>
      </c>
      <c r="I194" t="s">
        <v>213</v>
      </c>
    </row>
    <row r="195" spans="1:9" x14ac:dyDescent="0.35">
      <c r="A195" s="7">
        <v>194</v>
      </c>
      <c r="B195">
        <v>1</v>
      </c>
      <c r="C195">
        <v>90</v>
      </c>
      <c r="D195">
        <v>220</v>
      </c>
      <c r="E195">
        <v>3690</v>
      </c>
      <c r="F195">
        <v>1500</v>
      </c>
      <c r="G195">
        <v>7</v>
      </c>
      <c r="H195">
        <v>162</v>
      </c>
      <c r="I195" t="s">
        <v>214</v>
      </c>
    </row>
    <row r="196" spans="1:9" x14ac:dyDescent="0.35">
      <c r="A196" s="7">
        <v>195</v>
      </c>
      <c r="B196">
        <v>1</v>
      </c>
      <c r="C196">
        <v>90</v>
      </c>
      <c r="D196">
        <v>220</v>
      </c>
      <c r="E196">
        <v>3940</v>
      </c>
      <c r="F196">
        <v>1500</v>
      </c>
      <c r="G196">
        <v>7</v>
      </c>
      <c r="H196">
        <v>163</v>
      </c>
      <c r="I196" t="s">
        <v>215</v>
      </c>
    </row>
    <row r="197" spans="1:9" x14ac:dyDescent="0.35">
      <c r="A197" s="7">
        <v>196</v>
      </c>
      <c r="B197">
        <v>4</v>
      </c>
      <c r="C197">
        <v>0</v>
      </c>
      <c r="D197">
        <v>565</v>
      </c>
      <c r="E197">
        <v>220</v>
      </c>
      <c r="F197">
        <v>1500</v>
      </c>
      <c r="G197">
        <v>7</v>
      </c>
      <c r="H197">
        <v>14</v>
      </c>
      <c r="I197" t="s">
        <v>216</v>
      </c>
    </row>
    <row r="198" spans="1:9" x14ac:dyDescent="0.35">
      <c r="A198" s="7">
        <v>197</v>
      </c>
      <c r="B198">
        <v>1</v>
      </c>
      <c r="C198">
        <v>0</v>
      </c>
      <c r="D198">
        <v>815</v>
      </c>
      <c r="E198">
        <v>220</v>
      </c>
      <c r="F198">
        <v>1500</v>
      </c>
      <c r="G198">
        <v>7</v>
      </c>
      <c r="H198">
        <v>164</v>
      </c>
      <c r="I198" t="s">
        <v>217</v>
      </c>
    </row>
    <row r="199" spans="1:9" x14ac:dyDescent="0.35">
      <c r="A199" s="7">
        <v>198</v>
      </c>
      <c r="B199">
        <v>1</v>
      </c>
      <c r="C199">
        <v>0</v>
      </c>
      <c r="D199">
        <v>1065</v>
      </c>
      <c r="E199">
        <v>220</v>
      </c>
      <c r="F199">
        <v>1500</v>
      </c>
      <c r="G199">
        <v>7</v>
      </c>
      <c r="H199">
        <v>165</v>
      </c>
      <c r="I199" t="s">
        <v>218</v>
      </c>
    </row>
    <row r="200" spans="1:9" x14ac:dyDescent="0.35">
      <c r="A200" s="7">
        <v>199</v>
      </c>
      <c r="B200">
        <v>1</v>
      </c>
      <c r="C200">
        <v>0</v>
      </c>
      <c r="D200">
        <v>1315</v>
      </c>
      <c r="E200">
        <v>220</v>
      </c>
      <c r="F200">
        <v>1500</v>
      </c>
      <c r="G200">
        <v>7</v>
      </c>
      <c r="H200">
        <v>166</v>
      </c>
      <c r="I200" t="s">
        <v>219</v>
      </c>
    </row>
    <row r="201" spans="1:9" x14ac:dyDescent="0.35">
      <c r="A201" s="7">
        <v>200</v>
      </c>
      <c r="B201">
        <v>1</v>
      </c>
      <c r="C201">
        <v>0</v>
      </c>
      <c r="D201">
        <v>1565</v>
      </c>
      <c r="E201">
        <v>220</v>
      </c>
      <c r="F201">
        <v>1500</v>
      </c>
      <c r="G201">
        <v>7</v>
      </c>
      <c r="H201">
        <v>167</v>
      </c>
      <c r="I201" t="s">
        <v>220</v>
      </c>
    </row>
    <row r="202" spans="1:9" x14ac:dyDescent="0.35">
      <c r="A202" s="7">
        <v>201</v>
      </c>
      <c r="B202">
        <v>1</v>
      </c>
      <c r="C202">
        <v>0</v>
      </c>
      <c r="D202">
        <v>1815</v>
      </c>
      <c r="E202">
        <v>220</v>
      </c>
      <c r="F202">
        <v>1500</v>
      </c>
      <c r="G202">
        <v>7</v>
      </c>
      <c r="H202">
        <v>168</v>
      </c>
      <c r="I202" t="s">
        <v>221</v>
      </c>
    </row>
    <row r="203" spans="1:9" x14ac:dyDescent="0.35">
      <c r="A203" s="7">
        <v>202</v>
      </c>
      <c r="B203">
        <v>1</v>
      </c>
      <c r="C203">
        <v>0</v>
      </c>
      <c r="D203">
        <v>2065</v>
      </c>
      <c r="E203">
        <v>220</v>
      </c>
      <c r="F203">
        <v>1500</v>
      </c>
      <c r="G203">
        <v>7</v>
      </c>
      <c r="H203">
        <v>169</v>
      </c>
      <c r="I203" t="s">
        <v>222</v>
      </c>
    </row>
    <row r="204" spans="1:9" x14ac:dyDescent="0.35">
      <c r="A204" s="7">
        <v>203</v>
      </c>
      <c r="B204">
        <v>1</v>
      </c>
      <c r="C204">
        <v>0</v>
      </c>
      <c r="D204">
        <v>2315</v>
      </c>
      <c r="E204">
        <v>220</v>
      </c>
      <c r="F204">
        <v>1500</v>
      </c>
      <c r="G204">
        <v>7</v>
      </c>
      <c r="H204">
        <v>170</v>
      </c>
      <c r="I204" t="s">
        <v>223</v>
      </c>
    </row>
    <row r="205" spans="1:9" x14ac:dyDescent="0.35">
      <c r="A205" s="7">
        <v>204</v>
      </c>
      <c r="B205">
        <v>1</v>
      </c>
      <c r="C205">
        <v>0</v>
      </c>
      <c r="D205">
        <v>2565</v>
      </c>
      <c r="E205">
        <v>220</v>
      </c>
      <c r="F205">
        <v>1500</v>
      </c>
      <c r="G205">
        <v>7</v>
      </c>
      <c r="H205">
        <v>171</v>
      </c>
      <c r="I205" t="s">
        <v>224</v>
      </c>
    </row>
    <row r="206" spans="1:9" x14ac:dyDescent="0.35">
      <c r="A206" s="7">
        <v>205</v>
      </c>
      <c r="B206">
        <v>1</v>
      </c>
      <c r="C206">
        <v>0</v>
      </c>
      <c r="D206">
        <v>2815</v>
      </c>
      <c r="E206">
        <v>220</v>
      </c>
      <c r="F206">
        <v>1500</v>
      </c>
      <c r="G206">
        <v>7</v>
      </c>
      <c r="H206">
        <v>172</v>
      </c>
      <c r="I206" t="s">
        <v>225</v>
      </c>
    </row>
    <row r="207" spans="1:9" x14ac:dyDescent="0.35">
      <c r="A207" s="7">
        <v>206</v>
      </c>
      <c r="B207">
        <v>1</v>
      </c>
      <c r="C207">
        <v>0</v>
      </c>
      <c r="D207">
        <v>3065</v>
      </c>
      <c r="E207">
        <v>220</v>
      </c>
      <c r="F207">
        <v>1500</v>
      </c>
      <c r="G207">
        <v>7</v>
      </c>
      <c r="H207">
        <v>173</v>
      </c>
      <c r="I207" t="s">
        <v>226</v>
      </c>
    </row>
    <row r="208" spans="1:9" x14ac:dyDescent="0.35">
      <c r="A208" s="7">
        <v>207</v>
      </c>
      <c r="B208">
        <v>1</v>
      </c>
      <c r="C208">
        <v>0</v>
      </c>
      <c r="D208">
        <v>3315</v>
      </c>
      <c r="E208">
        <v>220</v>
      </c>
      <c r="F208">
        <v>1500</v>
      </c>
      <c r="G208">
        <v>7</v>
      </c>
      <c r="H208">
        <v>174</v>
      </c>
      <c r="I208" t="s">
        <v>227</v>
      </c>
    </row>
    <row r="209" spans="1:9" x14ac:dyDescent="0.35">
      <c r="A209" s="7">
        <v>208</v>
      </c>
      <c r="B209">
        <v>1</v>
      </c>
      <c r="C209">
        <v>0</v>
      </c>
      <c r="D209">
        <v>3565</v>
      </c>
      <c r="E209">
        <v>220</v>
      </c>
      <c r="F209">
        <v>1500</v>
      </c>
      <c r="G209">
        <v>7</v>
      </c>
      <c r="H209">
        <v>175</v>
      </c>
      <c r="I209" t="s">
        <v>228</v>
      </c>
    </row>
    <row r="210" spans="1:9" x14ac:dyDescent="0.35">
      <c r="A210" s="7">
        <v>209</v>
      </c>
      <c r="B210">
        <v>1</v>
      </c>
      <c r="C210">
        <v>0</v>
      </c>
      <c r="D210">
        <v>3815</v>
      </c>
      <c r="E210">
        <v>220</v>
      </c>
      <c r="F210">
        <v>1500</v>
      </c>
      <c r="G210">
        <v>7</v>
      </c>
      <c r="H210">
        <v>176</v>
      </c>
      <c r="I210" t="s">
        <v>229</v>
      </c>
    </row>
    <row r="211" spans="1:9" x14ac:dyDescent="0.35">
      <c r="A211" s="7">
        <v>210</v>
      </c>
      <c r="B211">
        <v>3</v>
      </c>
      <c r="C211">
        <v>180</v>
      </c>
      <c r="D211" t="s">
        <v>52</v>
      </c>
      <c r="E211">
        <v>220</v>
      </c>
      <c r="F211">
        <v>1500</v>
      </c>
      <c r="G211">
        <v>7</v>
      </c>
      <c r="H211">
        <v>13</v>
      </c>
      <c r="I211" t="s">
        <v>230</v>
      </c>
    </row>
    <row r="212" spans="1:9" x14ac:dyDescent="0.35">
      <c r="A212" s="7">
        <v>211</v>
      </c>
      <c r="B212">
        <v>2</v>
      </c>
      <c r="C212">
        <v>180</v>
      </c>
      <c r="D212">
        <v>95</v>
      </c>
      <c r="E212">
        <v>220</v>
      </c>
      <c r="F212">
        <v>1750</v>
      </c>
      <c r="G212">
        <v>8</v>
      </c>
      <c r="H212">
        <v>8</v>
      </c>
      <c r="I212" t="s">
        <v>231</v>
      </c>
    </row>
    <row r="213" spans="1:9" x14ac:dyDescent="0.35">
      <c r="A213" s="7">
        <v>212</v>
      </c>
      <c r="B213">
        <v>3</v>
      </c>
      <c r="C213">
        <v>0</v>
      </c>
      <c r="D213" t="s">
        <v>18</v>
      </c>
      <c r="E213">
        <v>220</v>
      </c>
      <c r="F213">
        <v>1750</v>
      </c>
      <c r="G213">
        <v>8</v>
      </c>
      <c r="H213">
        <v>14</v>
      </c>
      <c r="I213" t="s">
        <v>232</v>
      </c>
    </row>
    <row r="214" spans="1:9" x14ac:dyDescent="0.35">
      <c r="A214" s="7">
        <v>213</v>
      </c>
      <c r="B214">
        <v>1</v>
      </c>
      <c r="C214">
        <v>180</v>
      </c>
      <c r="D214">
        <v>440</v>
      </c>
      <c r="E214">
        <v>220</v>
      </c>
      <c r="F214">
        <v>1750</v>
      </c>
      <c r="G214">
        <v>8</v>
      </c>
      <c r="H214">
        <v>177</v>
      </c>
      <c r="I214" t="s">
        <v>233</v>
      </c>
    </row>
    <row r="215" spans="1:9" x14ac:dyDescent="0.35">
      <c r="A215" s="7">
        <v>214</v>
      </c>
      <c r="B215">
        <v>1</v>
      </c>
      <c r="C215">
        <v>180</v>
      </c>
      <c r="D215">
        <v>690</v>
      </c>
      <c r="E215">
        <v>220</v>
      </c>
      <c r="F215">
        <v>1750</v>
      </c>
      <c r="G215">
        <v>8</v>
      </c>
      <c r="H215">
        <v>178</v>
      </c>
      <c r="I215" t="s">
        <v>234</v>
      </c>
    </row>
    <row r="216" spans="1:9" x14ac:dyDescent="0.35">
      <c r="A216" s="7">
        <v>215</v>
      </c>
      <c r="B216">
        <v>1</v>
      </c>
      <c r="C216">
        <v>180</v>
      </c>
      <c r="D216">
        <v>940</v>
      </c>
      <c r="E216">
        <v>220</v>
      </c>
      <c r="F216">
        <v>1750</v>
      </c>
      <c r="G216">
        <v>8</v>
      </c>
      <c r="H216">
        <v>179</v>
      </c>
      <c r="I216" t="s">
        <v>235</v>
      </c>
    </row>
    <row r="217" spans="1:9" x14ac:dyDescent="0.35">
      <c r="A217" s="7">
        <v>216</v>
      </c>
      <c r="B217">
        <v>1</v>
      </c>
      <c r="C217">
        <v>180</v>
      </c>
      <c r="D217">
        <v>1190</v>
      </c>
      <c r="E217">
        <v>220</v>
      </c>
      <c r="F217">
        <v>1750</v>
      </c>
      <c r="G217">
        <v>8</v>
      </c>
      <c r="H217">
        <v>180</v>
      </c>
      <c r="I217" t="s">
        <v>236</v>
      </c>
    </row>
    <row r="218" spans="1:9" x14ac:dyDescent="0.35">
      <c r="A218" s="7">
        <v>217</v>
      </c>
      <c r="B218">
        <v>1</v>
      </c>
      <c r="C218">
        <v>180</v>
      </c>
      <c r="D218">
        <v>1440</v>
      </c>
      <c r="E218">
        <v>220</v>
      </c>
      <c r="F218">
        <v>1750</v>
      </c>
      <c r="G218">
        <v>8</v>
      </c>
      <c r="H218">
        <v>181</v>
      </c>
      <c r="I218" t="s">
        <v>237</v>
      </c>
    </row>
    <row r="219" spans="1:9" x14ac:dyDescent="0.35">
      <c r="A219" s="7">
        <v>218</v>
      </c>
      <c r="B219">
        <v>1</v>
      </c>
      <c r="C219">
        <v>180</v>
      </c>
      <c r="D219">
        <v>1690</v>
      </c>
      <c r="E219">
        <v>220</v>
      </c>
      <c r="F219">
        <v>1750</v>
      </c>
      <c r="G219">
        <v>8</v>
      </c>
      <c r="H219">
        <v>182</v>
      </c>
      <c r="I219" t="s">
        <v>238</v>
      </c>
    </row>
    <row r="220" spans="1:9" x14ac:dyDescent="0.35">
      <c r="A220" s="7">
        <v>219</v>
      </c>
      <c r="B220">
        <v>1</v>
      </c>
      <c r="C220">
        <v>180</v>
      </c>
      <c r="D220">
        <v>1940</v>
      </c>
      <c r="E220">
        <v>220</v>
      </c>
      <c r="F220">
        <v>1750</v>
      </c>
      <c r="G220">
        <v>8</v>
      </c>
      <c r="H220">
        <v>183</v>
      </c>
      <c r="I220" t="s">
        <v>239</v>
      </c>
    </row>
    <row r="221" spans="1:9" x14ac:dyDescent="0.35">
      <c r="A221" s="7">
        <v>220</v>
      </c>
      <c r="B221">
        <v>1</v>
      </c>
      <c r="C221">
        <v>180</v>
      </c>
      <c r="D221">
        <v>2190</v>
      </c>
      <c r="E221">
        <v>220</v>
      </c>
      <c r="F221">
        <v>1750</v>
      </c>
      <c r="G221">
        <v>8</v>
      </c>
      <c r="H221">
        <v>184</v>
      </c>
      <c r="I221" t="s">
        <v>240</v>
      </c>
    </row>
    <row r="222" spans="1:9" x14ac:dyDescent="0.35">
      <c r="A222" s="7">
        <v>221</v>
      </c>
      <c r="B222">
        <v>1</v>
      </c>
      <c r="C222">
        <v>180</v>
      </c>
      <c r="D222">
        <v>2440</v>
      </c>
      <c r="E222">
        <v>220</v>
      </c>
      <c r="F222">
        <v>1750</v>
      </c>
      <c r="G222">
        <v>8</v>
      </c>
      <c r="H222">
        <v>185</v>
      </c>
      <c r="I222" t="s">
        <v>241</v>
      </c>
    </row>
    <row r="223" spans="1:9" x14ac:dyDescent="0.35">
      <c r="A223" s="7">
        <v>222</v>
      </c>
      <c r="B223">
        <v>1</v>
      </c>
      <c r="C223">
        <v>180</v>
      </c>
      <c r="D223">
        <v>2690</v>
      </c>
      <c r="E223">
        <v>220</v>
      </c>
      <c r="F223">
        <v>1750</v>
      </c>
      <c r="G223">
        <v>8</v>
      </c>
      <c r="H223">
        <v>186</v>
      </c>
      <c r="I223" t="s">
        <v>242</v>
      </c>
    </row>
    <row r="224" spans="1:9" x14ac:dyDescent="0.35">
      <c r="A224" s="7">
        <v>223</v>
      </c>
      <c r="B224">
        <v>1</v>
      </c>
      <c r="C224">
        <v>180</v>
      </c>
      <c r="D224">
        <v>2940</v>
      </c>
      <c r="E224">
        <v>220</v>
      </c>
      <c r="F224">
        <v>1750</v>
      </c>
      <c r="G224">
        <v>8</v>
      </c>
      <c r="H224">
        <v>187</v>
      </c>
      <c r="I224" t="s">
        <v>243</v>
      </c>
    </row>
    <row r="225" spans="1:9" x14ac:dyDescent="0.35">
      <c r="A225" s="7">
        <v>224</v>
      </c>
      <c r="B225">
        <v>1</v>
      </c>
      <c r="C225">
        <v>180</v>
      </c>
      <c r="D225">
        <v>3190</v>
      </c>
      <c r="E225">
        <v>220</v>
      </c>
      <c r="F225">
        <v>1750</v>
      </c>
      <c r="G225">
        <v>8</v>
      </c>
      <c r="H225">
        <v>188</v>
      </c>
      <c r="I225" t="s">
        <v>244</v>
      </c>
    </row>
    <row r="226" spans="1:9" x14ac:dyDescent="0.35">
      <c r="A226" s="7">
        <v>225</v>
      </c>
      <c r="B226">
        <v>1</v>
      </c>
      <c r="C226">
        <v>180</v>
      </c>
      <c r="D226">
        <v>3440</v>
      </c>
      <c r="E226">
        <v>220</v>
      </c>
      <c r="F226">
        <v>1750</v>
      </c>
      <c r="G226">
        <v>8</v>
      </c>
      <c r="H226">
        <v>189</v>
      </c>
      <c r="I226" t="s">
        <v>245</v>
      </c>
    </row>
    <row r="227" spans="1:9" x14ac:dyDescent="0.35">
      <c r="A227" s="7">
        <v>226</v>
      </c>
      <c r="B227">
        <v>1</v>
      </c>
      <c r="C227">
        <v>180</v>
      </c>
      <c r="D227">
        <v>3690</v>
      </c>
      <c r="E227">
        <v>220</v>
      </c>
      <c r="F227">
        <v>1750</v>
      </c>
      <c r="G227">
        <v>8</v>
      </c>
      <c r="H227">
        <v>190</v>
      </c>
      <c r="I227" t="s">
        <v>246</v>
      </c>
    </row>
    <row r="228" spans="1:9" x14ac:dyDescent="0.35">
      <c r="A228" s="7">
        <v>227</v>
      </c>
      <c r="B228">
        <v>4</v>
      </c>
      <c r="C228">
        <v>180</v>
      </c>
      <c r="D228">
        <v>3940</v>
      </c>
      <c r="E228">
        <v>220</v>
      </c>
      <c r="F228">
        <v>1750</v>
      </c>
      <c r="G228">
        <v>8</v>
      </c>
      <c r="H228">
        <v>15</v>
      </c>
      <c r="I228" t="s">
        <v>247</v>
      </c>
    </row>
    <row r="229" spans="1:9" x14ac:dyDescent="0.35">
      <c r="A229" s="7">
        <v>228</v>
      </c>
      <c r="B229">
        <v>4</v>
      </c>
      <c r="C229">
        <v>90</v>
      </c>
      <c r="D229">
        <v>220</v>
      </c>
      <c r="E229">
        <v>565</v>
      </c>
      <c r="F229">
        <v>1750</v>
      </c>
      <c r="G229">
        <v>8</v>
      </c>
      <c r="H229">
        <v>16</v>
      </c>
      <c r="I229" t="s">
        <v>248</v>
      </c>
    </row>
    <row r="230" spans="1:9" x14ac:dyDescent="0.35">
      <c r="A230" s="7">
        <v>229</v>
      </c>
      <c r="B230">
        <v>1</v>
      </c>
      <c r="C230">
        <v>90</v>
      </c>
      <c r="D230">
        <v>220</v>
      </c>
      <c r="E230">
        <v>815</v>
      </c>
      <c r="F230">
        <v>1750</v>
      </c>
      <c r="G230">
        <v>8</v>
      </c>
      <c r="H230">
        <v>191</v>
      </c>
      <c r="I230" t="s">
        <v>249</v>
      </c>
    </row>
    <row r="231" spans="1:9" x14ac:dyDescent="0.35">
      <c r="A231" s="7">
        <v>230</v>
      </c>
      <c r="B231">
        <v>3</v>
      </c>
      <c r="C231">
        <v>270</v>
      </c>
      <c r="D231">
        <v>220</v>
      </c>
      <c r="E231" t="s">
        <v>199</v>
      </c>
      <c r="F231">
        <v>1750</v>
      </c>
      <c r="G231">
        <v>8</v>
      </c>
      <c r="H231">
        <v>15</v>
      </c>
      <c r="I231" t="s">
        <v>250</v>
      </c>
    </row>
    <row r="232" spans="1:9" x14ac:dyDescent="0.35">
      <c r="A232" s="7">
        <v>231</v>
      </c>
      <c r="B232">
        <v>3</v>
      </c>
      <c r="C232">
        <v>90</v>
      </c>
      <c r="D232">
        <v>220</v>
      </c>
      <c r="E232" t="s">
        <v>201</v>
      </c>
      <c r="F232">
        <v>1750</v>
      </c>
      <c r="G232">
        <v>8</v>
      </c>
      <c r="H232">
        <v>16</v>
      </c>
      <c r="I232" t="s">
        <v>251</v>
      </c>
    </row>
    <row r="233" spans="1:9" x14ac:dyDescent="0.35">
      <c r="A233" s="7">
        <v>232</v>
      </c>
      <c r="B233">
        <v>1</v>
      </c>
      <c r="C233">
        <v>90</v>
      </c>
      <c r="D233">
        <v>220</v>
      </c>
      <c r="E233">
        <v>3315</v>
      </c>
      <c r="F233">
        <v>1750</v>
      </c>
      <c r="G233">
        <v>8</v>
      </c>
      <c r="H233">
        <v>192</v>
      </c>
      <c r="I233" t="s">
        <v>252</v>
      </c>
    </row>
    <row r="234" spans="1:9" x14ac:dyDescent="0.35">
      <c r="A234" s="7">
        <v>233</v>
      </c>
      <c r="B234">
        <v>1</v>
      </c>
      <c r="C234">
        <v>90</v>
      </c>
      <c r="D234">
        <v>220</v>
      </c>
      <c r="E234">
        <v>3565</v>
      </c>
      <c r="F234">
        <v>1750</v>
      </c>
      <c r="G234">
        <v>8</v>
      </c>
      <c r="H234">
        <v>193</v>
      </c>
      <c r="I234" t="s">
        <v>253</v>
      </c>
    </row>
    <row r="235" spans="1:9" x14ac:dyDescent="0.35">
      <c r="A235" s="7">
        <v>234</v>
      </c>
      <c r="B235">
        <v>1</v>
      </c>
      <c r="C235">
        <v>90</v>
      </c>
      <c r="D235">
        <v>220</v>
      </c>
      <c r="E235">
        <v>3815</v>
      </c>
      <c r="F235">
        <v>1750</v>
      </c>
      <c r="G235">
        <v>8</v>
      </c>
      <c r="H235">
        <v>194</v>
      </c>
      <c r="I235" t="s">
        <v>254</v>
      </c>
    </row>
    <row r="236" spans="1:9" x14ac:dyDescent="0.35">
      <c r="A236" s="7">
        <v>235</v>
      </c>
      <c r="B236">
        <v>2</v>
      </c>
      <c r="C236">
        <v>90</v>
      </c>
      <c r="D236">
        <v>220</v>
      </c>
      <c r="E236">
        <v>95</v>
      </c>
      <c r="F236">
        <v>2000</v>
      </c>
      <c r="G236">
        <v>9</v>
      </c>
      <c r="H236">
        <v>9</v>
      </c>
      <c r="I236" t="s">
        <v>255</v>
      </c>
    </row>
    <row r="237" spans="1:9" x14ac:dyDescent="0.35">
      <c r="A237" s="7">
        <v>236</v>
      </c>
      <c r="B237">
        <v>3</v>
      </c>
      <c r="C237">
        <v>90</v>
      </c>
      <c r="D237">
        <v>220</v>
      </c>
      <c r="E237" t="s">
        <v>18</v>
      </c>
      <c r="F237">
        <v>2000</v>
      </c>
      <c r="G237">
        <v>9</v>
      </c>
      <c r="H237">
        <v>17</v>
      </c>
      <c r="I237" t="s">
        <v>256</v>
      </c>
    </row>
    <row r="238" spans="1:9" x14ac:dyDescent="0.35">
      <c r="A238" s="7">
        <v>237</v>
      </c>
      <c r="B238">
        <v>1</v>
      </c>
      <c r="C238">
        <v>90</v>
      </c>
      <c r="D238">
        <v>220</v>
      </c>
      <c r="E238">
        <v>440</v>
      </c>
      <c r="F238">
        <v>2000</v>
      </c>
      <c r="G238">
        <v>9</v>
      </c>
      <c r="H238">
        <v>195</v>
      </c>
      <c r="I238" t="s">
        <v>257</v>
      </c>
    </row>
    <row r="239" spans="1:9" x14ac:dyDescent="0.35">
      <c r="A239" s="7">
        <v>238</v>
      </c>
      <c r="B239">
        <v>1</v>
      </c>
      <c r="C239">
        <v>90</v>
      </c>
      <c r="D239">
        <v>220</v>
      </c>
      <c r="E239">
        <v>690</v>
      </c>
      <c r="F239">
        <v>2000</v>
      </c>
      <c r="G239">
        <v>9</v>
      </c>
      <c r="H239">
        <v>196</v>
      </c>
      <c r="I239" t="s">
        <v>258</v>
      </c>
    </row>
    <row r="240" spans="1:9" x14ac:dyDescent="0.35">
      <c r="A240" s="7">
        <v>239</v>
      </c>
      <c r="B240">
        <v>4</v>
      </c>
      <c r="C240">
        <v>270</v>
      </c>
      <c r="D240">
        <v>220</v>
      </c>
      <c r="E240">
        <v>940</v>
      </c>
      <c r="F240">
        <v>2000</v>
      </c>
      <c r="G240">
        <v>9</v>
      </c>
      <c r="H240">
        <v>17</v>
      </c>
      <c r="I240" t="s">
        <v>259</v>
      </c>
    </row>
    <row r="241" spans="1:9" x14ac:dyDescent="0.35">
      <c r="A241" s="7">
        <v>240</v>
      </c>
      <c r="B241">
        <v>4</v>
      </c>
      <c r="C241">
        <v>90</v>
      </c>
      <c r="D241">
        <v>220</v>
      </c>
      <c r="E241">
        <v>3190</v>
      </c>
      <c r="F241">
        <v>2000</v>
      </c>
      <c r="G241">
        <v>9</v>
      </c>
      <c r="H241">
        <v>18</v>
      </c>
      <c r="I241" t="s">
        <v>260</v>
      </c>
    </row>
    <row r="242" spans="1:9" x14ac:dyDescent="0.35">
      <c r="A242" s="7">
        <v>241</v>
      </c>
      <c r="B242">
        <v>1</v>
      </c>
      <c r="C242">
        <v>90</v>
      </c>
      <c r="D242">
        <v>220</v>
      </c>
      <c r="E242">
        <v>3440</v>
      </c>
      <c r="F242">
        <v>2000</v>
      </c>
      <c r="G242">
        <v>9</v>
      </c>
      <c r="H242">
        <v>197</v>
      </c>
      <c r="I242" t="s">
        <v>261</v>
      </c>
    </row>
    <row r="243" spans="1:9" x14ac:dyDescent="0.35">
      <c r="A243" s="7">
        <v>242</v>
      </c>
      <c r="B243">
        <v>1</v>
      </c>
      <c r="C243">
        <v>90</v>
      </c>
      <c r="D243">
        <v>220</v>
      </c>
      <c r="E243">
        <v>3690</v>
      </c>
      <c r="F243">
        <v>2000</v>
      </c>
      <c r="G243">
        <v>9</v>
      </c>
      <c r="H243">
        <v>198</v>
      </c>
      <c r="I243" t="s">
        <v>262</v>
      </c>
    </row>
    <row r="244" spans="1:9" x14ac:dyDescent="0.35">
      <c r="A244" s="7">
        <v>243</v>
      </c>
      <c r="B244">
        <v>4</v>
      </c>
      <c r="C244">
        <v>0</v>
      </c>
      <c r="D244">
        <v>565</v>
      </c>
      <c r="E244">
        <v>220</v>
      </c>
      <c r="F244">
        <v>2000</v>
      </c>
      <c r="G244">
        <v>9</v>
      </c>
      <c r="H244">
        <v>19</v>
      </c>
      <c r="I244" t="s">
        <v>263</v>
      </c>
    </row>
    <row r="245" spans="1:9" x14ac:dyDescent="0.35">
      <c r="A245" s="7">
        <v>244</v>
      </c>
      <c r="B245">
        <v>1</v>
      </c>
      <c r="C245">
        <v>0</v>
      </c>
      <c r="D245">
        <v>815</v>
      </c>
      <c r="E245">
        <v>220</v>
      </c>
      <c r="F245">
        <v>2000</v>
      </c>
      <c r="G245">
        <v>9</v>
      </c>
      <c r="H245">
        <v>199</v>
      </c>
      <c r="I245" t="s">
        <v>264</v>
      </c>
    </row>
    <row r="246" spans="1:9" x14ac:dyDescent="0.35">
      <c r="A246" s="7">
        <v>245</v>
      </c>
      <c r="B246">
        <v>1</v>
      </c>
      <c r="C246">
        <v>0</v>
      </c>
      <c r="D246">
        <v>1065</v>
      </c>
      <c r="E246">
        <v>220</v>
      </c>
      <c r="F246">
        <v>2000</v>
      </c>
      <c r="G246">
        <v>9</v>
      </c>
      <c r="H246">
        <v>200</v>
      </c>
      <c r="I246" t="s">
        <v>265</v>
      </c>
    </row>
    <row r="247" spans="1:9" x14ac:dyDescent="0.35">
      <c r="A247" s="7">
        <v>246</v>
      </c>
      <c r="B247">
        <v>1</v>
      </c>
      <c r="C247">
        <v>0</v>
      </c>
      <c r="D247">
        <v>1315</v>
      </c>
      <c r="E247">
        <v>220</v>
      </c>
      <c r="F247">
        <v>2000</v>
      </c>
      <c r="G247">
        <v>9</v>
      </c>
      <c r="H247">
        <v>201</v>
      </c>
      <c r="I247" t="s">
        <v>266</v>
      </c>
    </row>
    <row r="248" spans="1:9" x14ac:dyDescent="0.35">
      <c r="A248" s="7">
        <v>247</v>
      </c>
      <c r="B248">
        <v>1</v>
      </c>
      <c r="C248">
        <v>0</v>
      </c>
      <c r="D248">
        <v>1565</v>
      </c>
      <c r="E248">
        <v>220</v>
      </c>
      <c r="F248">
        <v>2000</v>
      </c>
      <c r="G248">
        <v>9</v>
      </c>
      <c r="H248">
        <v>202</v>
      </c>
      <c r="I248" t="s">
        <v>267</v>
      </c>
    </row>
    <row r="249" spans="1:9" x14ac:dyDescent="0.35">
      <c r="A249" s="7">
        <v>248</v>
      </c>
      <c r="B249">
        <v>1</v>
      </c>
      <c r="C249">
        <v>0</v>
      </c>
      <c r="D249">
        <v>1815</v>
      </c>
      <c r="E249">
        <v>220</v>
      </c>
      <c r="F249">
        <v>2000</v>
      </c>
      <c r="G249">
        <v>9</v>
      </c>
      <c r="H249">
        <v>203</v>
      </c>
      <c r="I249" t="s">
        <v>268</v>
      </c>
    </row>
    <row r="250" spans="1:9" x14ac:dyDescent="0.35">
      <c r="A250" s="7">
        <v>249</v>
      </c>
      <c r="B250">
        <v>1</v>
      </c>
      <c r="C250">
        <v>0</v>
      </c>
      <c r="D250">
        <v>2065</v>
      </c>
      <c r="E250">
        <v>220</v>
      </c>
      <c r="F250">
        <v>2000</v>
      </c>
      <c r="G250">
        <v>9</v>
      </c>
      <c r="H250">
        <v>204</v>
      </c>
      <c r="I250" t="s">
        <v>269</v>
      </c>
    </row>
    <row r="251" spans="1:9" x14ac:dyDescent="0.35">
      <c r="A251" s="7">
        <v>250</v>
      </c>
      <c r="B251">
        <v>1</v>
      </c>
      <c r="C251">
        <v>0</v>
      </c>
      <c r="D251">
        <v>2315</v>
      </c>
      <c r="E251">
        <v>220</v>
      </c>
      <c r="F251">
        <v>2000</v>
      </c>
      <c r="G251">
        <v>9</v>
      </c>
      <c r="H251">
        <v>205</v>
      </c>
      <c r="I251" t="s">
        <v>270</v>
      </c>
    </row>
    <row r="252" spans="1:9" x14ac:dyDescent="0.35">
      <c r="A252" s="7">
        <v>251</v>
      </c>
      <c r="B252">
        <v>1</v>
      </c>
      <c r="C252">
        <v>0</v>
      </c>
      <c r="D252">
        <v>2565</v>
      </c>
      <c r="E252">
        <v>220</v>
      </c>
      <c r="F252">
        <v>2000</v>
      </c>
      <c r="G252">
        <v>9</v>
      </c>
      <c r="H252">
        <v>206</v>
      </c>
      <c r="I252" t="s">
        <v>271</v>
      </c>
    </row>
    <row r="253" spans="1:9" x14ac:dyDescent="0.35">
      <c r="A253" s="7">
        <v>252</v>
      </c>
      <c r="B253">
        <v>1</v>
      </c>
      <c r="C253">
        <v>0</v>
      </c>
      <c r="D253">
        <v>2815</v>
      </c>
      <c r="E253">
        <v>220</v>
      </c>
      <c r="F253">
        <v>2000</v>
      </c>
      <c r="G253">
        <v>9</v>
      </c>
      <c r="H253">
        <v>207</v>
      </c>
      <c r="I253" t="s">
        <v>272</v>
      </c>
    </row>
    <row r="254" spans="1:9" x14ac:dyDescent="0.35">
      <c r="A254" s="7">
        <v>253</v>
      </c>
      <c r="B254">
        <v>1</v>
      </c>
      <c r="C254">
        <v>0</v>
      </c>
      <c r="D254">
        <v>3065</v>
      </c>
      <c r="E254">
        <v>220</v>
      </c>
      <c r="F254">
        <v>2000</v>
      </c>
      <c r="G254">
        <v>9</v>
      </c>
      <c r="H254">
        <v>208</v>
      </c>
      <c r="I254" t="s">
        <v>273</v>
      </c>
    </row>
    <row r="255" spans="1:9" x14ac:dyDescent="0.35">
      <c r="A255" s="7">
        <v>254</v>
      </c>
      <c r="B255">
        <v>1</v>
      </c>
      <c r="C255">
        <v>0</v>
      </c>
      <c r="D255">
        <v>3315</v>
      </c>
      <c r="E255">
        <v>220</v>
      </c>
      <c r="F255">
        <v>2000</v>
      </c>
      <c r="G255">
        <v>9</v>
      </c>
      <c r="H255">
        <v>209</v>
      </c>
      <c r="I255" t="s">
        <v>274</v>
      </c>
    </row>
    <row r="256" spans="1:9" x14ac:dyDescent="0.35">
      <c r="A256" s="7">
        <v>255</v>
      </c>
      <c r="B256">
        <v>1</v>
      </c>
      <c r="C256">
        <v>0</v>
      </c>
      <c r="D256">
        <v>3565</v>
      </c>
      <c r="E256">
        <v>220</v>
      </c>
      <c r="F256">
        <v>2000</v>
      </c>
      <c r="G256">
        <v>9</v>
      </c>
      <c r="H256">
        <v>210</v>
      </c>
      <c r="I256" t="s">
        <v>275</v>
      </c>
    </row>
    <row r="257" spans="1:9" x14ac:dyDescent="0.35">
      <c r="A257" s="7">
        <v>256</v>
      </c>
      <c r="B257">
        <v>1</v>
      </c>
      <c r="C257">
        <v>0</v>
      </c>
      <c r="D257">
        <v>3815</v>
      </c>
      <c r="E257">
        <v>220</v>
      </c>
      <c r="F257">
        <v>2000</v>
      </c>
      <c r="G257">
        <v>9</v>
      </c>
      <c r="H257">
        <v>211</v>
      </c>
      <c r="I257" t="s">
        <v>276</v>
      </c>
    </row>
    <row r="258" spans="1:9" x14ac:dyDescent="0.35">
      <c r="A258" s="7">
        <v>257</v>
      </c>
      <c r="B258">
        <v>3</v>
      </c>
      <c r="C258">
        <v>180</v>
      </c>
      <c r="D258" t="s">
        <v>52</v>
      </c>
      <c r="E258">
        <v>220</v>
      </c>
      <c r="F258">
        <v>2000</v>
      </c>
      <c r="G258">
        <v>9</v>
      </c>
      <c r="H258">
        <v>18</v>
      </c>
      <c r="I258" t="s">
        <v>277</v>
      </c>
    </row>
    <row r="259" spans="1:9" x14ac:dyDescent="0.35">
      <c r="A259" s="7">
        <v>258</v>
      </c>
      <c r="B259">
        <v>2</v>
      </c>
      <c r="C259">
        <v>180</v>
      </c>
      <c r="D259">
        <v>95</v>
      </c>
      <c r="E259">
        <v>220</v>
      </c>
      <c r="F259">
        <v>2250</v>
      </c>
      <c r="G259">
        <v>10</v>
      </c>
      <c r="H259">
        <v>10</v>
      </c>
      <c r="I259" t="s">
        <v>278</v>
      </c>
    </row>
    <row r="260" spans="1:9" x14ac:dyDescent="0.35">
      <c r="A260" s="7">
        <v>259</v>
      </c>
      <c r="B260">
        <v>3</v>
      </c>
      <c r="C260">
        <v>0</v>
      </c>
      <c r="D260" t="s">
        <v>18</v>
      </c>
      <c r="E260">
        <v>220</v>
      </c>
      <c r="F260">
        <v>2250</v>
      </c>
      <c r="G260">
        <v>10</v>
      </c>
      <c r="H260">
        <v>19</v>
      </c>
      <c r="I260" t="s">
        <v>279</v>
      </c>
    </row>
    <row r="261" spans="1:9" x14ac:dyDescent="0.35">
      <c r="A261" s="7">
        <v>260</v>
      </c>
      <c r="B261">
        <v>1</v>
      </c>
      <c r="C261">
        <v>180</v>
      </c>
      <c r="D261">
        <v>440</v>
      </c>
      <c r="E261">
        <v>220</v>
      </c>
      <c r="F261">
        <v>2250</v>
      </c>
      <c r="G261">
        <v>10</v>
      </c>
      <c r="H261">
        <v>212</v>
      </c>
      <c r="I261" t="s">
        <v>280</v>
      </c>
    </row>
    <row r="262" spans="1:9" x14ac:dyDescent="0.35">
      <c r="A262" s="7">
        <v>261</v>
      </c>
      <c r="B262">
        <v>1</v>
      </c>
      <c r="C262">
        <v>180</v>
      </c>
      <c r="D262">
        <v>690</v>
      </c>
      <c r="E262">
        <v>220</v>
      </c>
      <c r="F262">
        <v>2250</v>
      </c>
      <c r="G262">
        <v>10</v>
      </c>
      <c r="H262">
        <v>213</v>
      </c>
      <c r="I262" t="s">
        <v>281</v>
      </c>
    </row>
    <row r="263" spans="1:9" x14ac:dyDescent="0.35">
      <c r="A263" s="7">
        <v>262</v>
      </c>
      <c r="B263">
        <v>1</v>
      </c>
      <c r="C263">
        <v>180</v>
      </c>
      <c r="D263">
        <v>940</v>
      </c>
      <c r="E263">
        <v>220</v>
      </c>
      <c r="F263">
        <v>2250</v>
      </c>
      <c r="G263">
        <v>10</v>
      </c>
      <c r="H263">
        <v>214</v>
      </c>
      <c r="I263" t="s">
        <v>282</v>
      </c>
    </row>
    <row r="264" spans="1:9" x14ac:dyDescent="0.35">
      <c r="A264" s="7">
        <v>263</v>
      </c>
      <c r="B264">
        <v>1</v>
      </c>
      <c r="C264">
        <v>180</v>
      </c>
      <c r="D264">
        <v>1190</v>
      </c>
      <c r="E264">
        <v>220</v>
      </c>
      <c r="F264">
        <v>2250</v>
      </c>
      <c r="G264">
        <v>10</v>
      </c>
      <c r="H264">
        <v>215</v>
      </c>
      <c r="I264" t="s">
        <v>283</v>
      </c>
    </row>
    <row r="265" spans="1:9" x14ac:dyDescent="0.35">
      <c r="A265" s="7">
        <v>264</v>
      </c>
      <c r="B265">
        <v>1</v>
      </c>
      <c r="C265">
        <v>180</v>
      </c>
      <c r="D265">
        <v>1440</v>
      </c>
      <c r="E265">
        <v>220</v>
      </c>
      <c r="F265">
        <v>2250</v>
      </c>
      <c r="G265">
        <v>10</v>
      </c>
      <c r="H265">
        <v>216</v>
      </c>
      <c r="I265" t="s">
        <v>284</v>
      </c>
    </row>
    <row r="266" spans="1:9" x14ac:dyDescent="0.35">
      <c r="A266" s="7">
        <v>265</v>
      </c>
      <c r="B266">
        <v>1</v>
      </c>
      <c r="C266">
        <v>180</v>
      </c>
      <c r="D266">
        <v>1690</v>
      </c>
      <c r="E266">
        <v>220</v>
      </c>
      <c r="F266">
        <v>2250</v>
      </c>
      <c r="G266">
        <v>10</v>
      </c>
      <c r="H266">
        <v>217</v>
      </c>
      <c r="I266" t="s">
        <v>285</v>
      </c>
    </row>
    <row r="267" spans="1:9" x14ac:dyDescent="0.35">
      <c r="A267" s="7">
        <v>266</v>
      </c>
      <c r="B267">
        <v>1</v>
      </c>
      <c r="C267">
        <v>180</v>
      </c>
      <c r="D267">
        <v>1940</v>
      </c>
      <c r="E267">
        <v>220</v>
      </c>
      <c r="F267">
        <v>2250</v>
      </c>
      <c r="G267">
        <v>10</v>
      </c>
      <c r="H267">
        <v>218</v>
      </c>
      <c r="I267" t="s">
        <v>286</v>
      </c>
    </row>
    <row r="268" spans="1:9" x14ac:dyDescent="0.35">
      <c r="A268" s="7">
        <v>267</v>
      </c>
      <c r="B268">
        <v>1</v>
      </c>
      <c r="C268">
        <v>180</v>
      </c>
      <c r="D268">
        <v>2190</v>
      </c>
      <c r="E268">
        <v>220</v>
      </c>
      <c r="F268">
        <v>2250</v>
      </c>
      <c r="G268">
        <v>10</v>
      </c>
      <c r="H268">
        <v>219</v>
      </c>
      <c r="I268" t="s">
        <v>287</v>
      </c>
    </row>
    <row r="269" spans="1:9" x14ac:dyDescent="0.35">
      <c r="A269" s="7">
        <v>268</v>
      </c>
      <c r="B269">
        <v>1</v>
      </c>
      <c r="C269">
        <v>180</v>
      </c>
      <c r="D269">
        <v>2440</v>
      </c>
      <c r="E269">
        <v>220</v>
      </c>
      <c r="F269">
        <v>2250</v>
      </c>
      <c r="G269">
        <v>10</v>
      </c>
      <c r="H269">
        <v>220</v>
      </c>
      <c r="I269" t="s">
        <v>288</v>
      </c>
    </row>
    <row r="270" spans="1:9" x14ac:dyDescent="0.35">
      <c r="A270" s="7">
        <v>269</v>
      </c>
      <c r="B270">
        <v>1</v>
      </c>
      <c r="C270">
        <v>180</v>
      </c>
      <c r="D270">
        <v>2690</v>
      </c>
      <c r="E270">
        <v>220</v>
      </c>
      <c r="F270">
        <v>2250</v>
      </c>
      <c r="G270">
        <v>10</v>
      </c>
      <c r="H270">
        <v>221</v>
      </c>
      <c r="I270" t="s">
        <v>289</v>
      </c>
    </row>
    <row r="271" spans="1:9" x14ac:dyDescent="0.35">
      <c r="A271" s="7">
        <v>270</v>
      </c>
      <c r="B271">
        <v>1</v>
      </c>
      <c r="C271">
        <v>180</v>
      </c>
      <c r="D271">
        <v>2940</v>
      </c>
      <c r="E271">
        <v>220</v>
      </c>
      <c r="F271">
        <v>2250</v>
      </c>
      <c r="G271">
        <v>10</v>
      </c>
      <c r="H271">
        <v>222</v>
      </c>
      <c r="I271" t="s">
        <v>290</v>
      </c>
    </row>
    <row r="272" spans="1:9" x14ac:dyDescent="0.35">
      <c r="A272" s="7">
        <v>271</v>
      </c>
      <c r="B272">
        <v>1</v>
      </c>
      <c r="C272">
        <v>180</v>
      </c>
      <c r="D272">
        <v>3190</v>
      </c>
      <c r="E272">
        <v>220</v>
      </c>
      <c r="F272">
        <v>2250</v>
      </c>
      <c r="G272">
        <v>10</v>
      </c>
      <c r="H272">
        <v>223</v>
      </c>
      <c r="I272" t="s">
        <v>291</v>
      </c>
    </row>
    <row r="273" spans="1:9" x14ac:dyDescent="0.35">
      <c r="A273" s="7">
        <v>272</v>
      </c>
      <c r="B273">
        <v>1</v>
      </c>
      <c r="C273">
        <v>180</v>
      </c>
      <c r="D273">
        <v>3440</v>
      </c>
      <c r="E273">
        <v>220</v>
      </c>
      <c r="F273">
        <v>2250</v>
      </c>
      <c r="G273">
        <v>10</v>
      </c>
      <c r="H273">
        <v>224</v>
      </c>
      <c r="I273" t="s">
        <v>292</v>
      </c>
    </row>
    <row r="274" spans="1:9" x14ac:dyDescent="0.35">
      <c r="A274" s="7">
        <v>273</v>
      </c>
      <c r="B274">
        <v>1</v>
      </c>
      <c r="C274">
        <v>180</v>
      </c>
      <c r="D274">
        <v>3690</v>
      </c>
      <c r="E274">
        <v>220</v>
      </c>
      <c r="F274">
        <v>2250</v>
      </c>
      <c r="G274">
        <v>10</v>
      </c>
      <c r="H274">
        <v>225</v>
      </c>
      <c r="I274" t="s">
        <v>293</v>
      </c>
    </row>
    <row r="275" spans="1:9" x14ac:dyDescent="0.35">
      <c r="A275" s="7">
        <v>274</v>
      </c>
      <c r="B275">
        <v>4</v>
      </c>
      <c r="C275">
        <v>180</v>
      </c>
      <c r="D275">
        <v>3940</v>
      </c>
      <c r="E275">
        <v>220</v>
      </c>
      <c r="F275">
        <v>2250</v>
      </c>
      <c r="G275">
        <v>10</v>
      </c>
      <c r="H275">
        <v>20</v>
      </c>
      <c r="I275" t="s">
        <v>294</v>
      </c>
    </row>
    <row r="276" spans="1:9" x14ac:dyDescent="0.35">
      <c r="A276" s="7">
        <v>275</v>
      </c>
      <c r="B276">
        <v>4</v>
      </c>
      <c r="C276">
        <v>90</v>
      </c>
      <c r="D276">
        <v>220</v>
      </c>
      <c r="E276">
        <v>565</v>
      </c>
      <c r="F276">
        <v>2250</v>
      </c>
      <c r="G276">
        <v>10</v>
      </c>
      <c r="H276">
        <v>21</v>
      </c>
      <c r="I276" t="s">
        <v>295</v>
      </c>
    </row>
    <row r="277" spans="1:9" x14ac:dyDescent="0.35">
      <c r="A277" s="7">
        <v>276</v>
      </c>
      <c r="B277">
        <v>1</v>
      </c>
      <c r="C277">
        <v>90</v>
      </c>
      <c r="D277">
        <v>220</v>
      </c>
      <c r="E277">
        <v>815</v>
      </c>
      <c r="F277">
        <v>2250</v>
      </c>
      <c r="G277">
        <v>10</v>
      </c>
      <c r="H277">
        <v>226</v>
      </c>
      <c r="I277" t="s">
        <v>296</v>
      </c>
    </row>
    <row r="278" spans="1:9" x14ac:dyDescent="0.35">
      <c r="A278" s="7">
        <v>277</v>
      </c>
      <c r="B278">
        <v>3</v>
      </c>
      <c r="C278">
        <v>270</v>
      </c>
      <c r="D278">
        <v>220</v>
      </c>
      <c r="E278" t="s">
        <v>199</v>
      </c>
      <c r="F278">
        <v>2250</v>
      </c>
      <c r="G278">
        <v>10</v>
      </c>
      <c r="H278">
        <v>20</v>
      </c>
      <c r="I278" t="s">
        <v>297</v>
      </c>
    </row>
    <row r="279" spans="1:9" x14ac:dyDescent="0.35">
      <c r="A279" s="7">
        <v>278</v>
      </c>
      <c r="B279">
        <v>3</v>
      </c>
      <c r="C279">
        <v>90</v>
      </c>
      <c r="D279">
        <v>220</v>
      </c>
      <c r="E279" t="s">
        <v>201</v>
      </c>
      <c r="F279">
        <v>2250</v>
      </c>
      <c r="G279">
        <v>10</v>
      </c>
      <c r="H279">
        <v>21</v>
      </c>
      <c r="I279" t="s">
        <v>298</v>
      </c>
    </row>
    <row r="280" spans="1:9" x14ac:dyDescent="0.35">
      <c r="A280" s="7">
        <v>279</v>
      </c>
      <c r="B280">
        <v>1</v>
      </c>
      <c r="C280">
        <v>90</v>
      </c>
      <c r="D280">
        <v>220</v>
      </c>
      <c r="E280">
        <v>3315</v>
      </c>
      <c r="F280">
        <v>2250</v>
      </c>
      <c r="G280">
        <v>10</v>
      </c>
      <c r="H280">
        <v>227</v>
      </c>
      <c r="I280" t="s">
        <v>299</v>
      </c>
    </row>
    <row r="281" spans="1:9" x14ac:dyDescent="0.35">
      <c r="A281" s="7">
        <v>280</v>
      </c>
      <c r="B281">
        <v>1</v>
      </c>
      <c r="C281">
        <v>90</v>
      </c>
      <c r="D281">
        <v>220</v>
      </c>
      <c r="E281">
        <v>3565</v>
      </c>
      <c r="F281">
        <v>2250</v>
      </c>
      <c r="G281">
        <v>10</v>
      </c>
      <c r="H281">
        <v>228</v>
      </c>
      <c r="I281" t="s">
        <v>300</v>
      </c>
    </row>
    <row r="282" spans="1:9" x14ac:dyDescent="0.35">
      <c r="A282" s="7">
        <v>281</v>
      </c>
      <c r="B282">
        <v>2</v>
      </c>
      <c r="C282">
        <v>90</v>
      </c>
      <c r="D282">
        <v>220</v>
      </c>
      <c r="E282">
        <v>95</v>
      </c>
      <c r="F282">
        <v>2500</v>
      </c>
      <c r="G282">
        <v>11</v>
      </c>
      <c r="H282">
        <v>11</v>
      </c>
      <c r="I282" t="s">
        <v>301</v>
      </c>
    </row>
    <row r="283" spans="1:9" x14ac:dyDescent="0.35">
      <c r="A283" s="7">
        <v>282</v>
      </c>
      <c r="B283">
        <v>3</v>
      </c>
      <c r="C283">
        <v>90</v>
      </c>
      <c r="D283">
        <v>220</v>
      </c>
      <c r="E283" t="s">
        <v>18</v>
      </c>
      <c r="F283">
        <v>2500</v>
      </c>
      <c r="G283">
        <v>11</v>
      </c>
      <c r="H283">
        <v>22</v>
      </c>
      <c r="I283" t="s">
        <v>302</v>
      </c>
    </row>
    <row r="284" spans="1:9" x14ac:dyDescent="0.35">
      <c r="A284" s="7">
        <v>283</v>
      </c>
      <c r="B284">
        <v>1</v>
      </c>
      <c r="C284">
        <v>90</v>
      </c>
      <c r="D284">
        <v>220</v>
      </c>
      <c r="E284">
        <v>440</v>
      </c>
      <c r="F284">
        <v>2500</v>
      </c>
      <c r="G284">
        <v>11</v>
      </c>
      <c r="H284">
        <v>229</v>
      </c>
      <c r="I284" t="s">
        <v>303</v>
      </c>
    </row>
    <row r="285" spans="1:9" x14ac:dyDescent="0.35">
      <c r="A285" s="7">
        <v>284</v>
      </c>
      <c r="B285">
        <v>1</v>
      </c>
      <c r="C285">
        <v>90</v>
      </c>
      <c r="D285">
        <v>220</v>
      </c>
      <c r="E285">
        <v>690</v>
      </c>
      <c r="F285">
        <v>2500</v>
      </c>
      <c r="G285">
        <v>11</v>
      </c>
      <c r="H285">
        <v>230</v>
      </c>
      <c r="I285" t="s">
        <v>304</v>
      </c>
    </row>
    <row r="286" spans="1:9" x14ac:dyDescent="0.35">
      <c r="A286" s="7">
        <v>285</v>
      </c>
      <c r="B286">
        <v>1</v>
      </c>
      <c r="C286">
        <v>90</v>
      </c>
      <c r="D286">
        <v>220</v>
      </c>
      <c r="E286">
        <v>3440</v>
      </c>
      <c r="F286">
        <v>2500</v>
      </c>
      <c r="G286">
        <v>11</v>
      </c>
      <c r="H286">
        <v>231</v>
      </c>
      <c r="I286" t="s">
        <v>305</v>
      </c>
    </row>
    <row r="287" spans="1:9" x14ac:dyDescent="0.35">
      <c r="A287" s="7">
        <v>286</v>
      </c>
      <c r="B287">
        <v>4</v>
      </c>
      <c r="C287">
        <v>0</v>
      </c>
      <c r="D287">
        <v>565</v>
      </c>
      <c r="E287">
        <v>220</v>
      </c>
      <c r="F287">
        <v>2500</v>
      </c>
      <c r="G287">
        <v>11</v>
      </c>
      <c r="H287">
        <v>22</v>
      </c>
      <c r="I287" t="s">
        <v>306</v>
      </c>
    </row>
    <row r="288" spans="1:9" x14ac:dyDescent="0.35">
      <c r="A288" s="7">
        <v>287</v>
      </c>
      <c r="B288">
        <v>1</v>
      </c>
      <c r="C288">
        <v>0</v>
      </c>
      <c r="D288">
        <v>815</v>
      </c>
      <c r="E288">
        <v>220</v>
      </c>
      <c r="F288">
        <v>2500</v>
      </c>
      <c r="G288">
        <v>11</v>
      </c>
      <c r="H288">
        <v>232</v>
      </c>
      <c r="I288" t="s">
        <v>307</v>
      </c>
    </row>
    <row r="289" spans="1:9" x14ac:dyDescent="0.35">
      <c r="A289" s="7">
        <v>288</v>
      </c>
      <c r="B289">
        <v>1</v>
      </c>
      <c r="C289">
        <v>0</v>
      </c>
      <c r="D289">
        <v>1065</v>
      </c>
      <c r="E289">
        <v>220</v>
      </c>
      <c r="F289">
        <v>2500</v>
      </c>
      <c r="G289">
        <v>11</v>
      </c>
      <c r="H289">
        <v>233</v>
      </c>
      <c r="I289" t="s">
        <v>308</v>
      </c>
    </row>
    <row r="290" spans="1:9" x14ac:dyDescent="0.35">
      <c r="A290" s="7">
        <v>289</v>
      </c>
      <c r="B290">
        <v>1</v>
      </c>
      <c r="C290">
        <v>0</v>
      </c>
      <c r="D290">
        <v>1315</v>
      </c>
      <c r="E290">
        <v>220</v>
      </c>
      <c r="F290">
        <v>2500</v>
      </c>
      <c r="G290">
        <v>11</v>
      </c>
      <c r="H290">
        <v>234</v>
      </c>
      <c r="I290" t="s">
        <v>309</v>
      </c>
    </row>
    <row r="291" spans="1:9" x14ac:dyDescent="0.35">
      <c r="A291" s="7">
        <v>290</v>
      </c>
      <c r="B291">
        <v>1</v>
      </c>
      <c r="C291">
        <v>0</v>
      </c>
      <c r="D291">
        <v>1565</v>
      </c>
      <c r="E291">
        <v>220</v>
      </c>
      <c r="F291">
        <v>2500</v>
      </c>
      <c r="G291">
        <v>11</v>
      </c>
      <c r="H291">
        <v>235</v>
      </c>
      <c r="I291" t="s">
        <v>310</v>
      </c>
    </row>
    <row r="292" spans="1:9" x14ac:dyDescent="0.35">
      <c r="A292" s="7">
        <v>291</v>
      </c>
      <c r="B292">
        <v>1</v>
      </c>
      <c r="C292">
        <v>0</v>
      </c>
      <c r="D292">
        <v>1815</v>
      </c>
      <c r="E292">
        <v>220</v>
      </c>
      <c r="F292">
        <v>2500</v>
      </c>
      <c r="G292">
        <v>11</v>
      </c>
      <c r="H292">
        <v>236</v>
      </c>
      <c r="I292" t="s">
        <v>311</v>
      </c>
    </row>
    <row r="293" spans="1:9" x14ac:dyDescent="0.35">
      <c r="A293" s="7">
        <v>292</v>
      </c>
      <c r="B293">
        <v>1</v>
      </c>
      <c r="C293">
        <v>0</v>
      </c>
      <c r="D293">
        <v>2065</v>
      </c>
      <c r="E293">
        <v>220</v>
      </c>
      <c r="F293">
        <v>2500</v>
      </c>
      <c r="G293">
        <v>11</v>
      </c>
      <c r="H293">
        <v>237</v>
      </c>
      <c r="I293" t="s">
        <v>312</v>
      </c>
    </row>
    <row r="294" spans="1:9" x14ac:dyDescent="0.35">
      <c r="A294" s="7">
        <v>293</v>
      </c>
      <c r="B294">
        <v>1</v>
      </c>
      <c r="C294">
        <v>0</v>
      </c>
      <c r="D294">
        <v>2315</v>
      </c>
      <c r="E294">
        <v>220</v>
      </c>
      <c r="F294">
        <v>2500</v>
      </c>
      <c r="G294">
        <v>11</v>
      </c>
      <c r="H294">
        <v>238</v>
      </c>
      <c r="I294" t="s">
        <v>313</v>
      </c>
    </row>
    <row r="295" spans="1:9" x14ac:dyDescent="0.35">
      <c r="A295" s="7">
        <v>294</v>
      </c>
      <c r="B295">
        <v>1</v>
      </c>
      <c r="C295">
        <v>0</v>
      </c>
      <c r="D295">
        <v>2565</v>
      </c>
      <c r="E295">
        <v>220</v>
      </c>
      <c r="F295">
        <v>2500</v>
      </c>
      <c r="G295">
        <v>11</v>
      </c>
      <c r="H295">
        <v>239</v>
      </c>
      <c r="I295" t="s">
        <v>314</v>
      </c>
    </row>
    <row r="296" spans="1:9" x14ac:dyDescent="0.35">
      <c r="A296" s="7">
        <v>295</v>
      </c>
      <c r="B296">
        <v>1</v>
      </c>
      <c r="C296">
        <v>0</v>
      </c>
      <c r="D296">
        <v>2815</v>
      </c>
      <c r="E296">
        <v>220</v>
      </c>
      <c r="F296">
        <v>2500</v>
      </c>
      <c r="G296">
        <v>11</v>
      </c>
      <c r="H296">
        <v>240</v>
      </c>
      <c r="I296" t="s">
        <v>315</v>
      </c>
    </row>
    <row r="297" spans="1:9" x14ac:dyDescent="0.35">
      <c r="A297" s="7">
        <v>296</v>
      </c>
      <c r="B297">
        <v>1</v>
      </c>
      <c r="C297">
        <v>0</v>
      </c>
      <c r="D297">
        <v>3065</v>
      </c>
      <c r="E297">
        <v>220</v>
      </c>
      <c r="F297">
        <v>2500</v>
      </c>
      <c r="G297">
        <v>11</v>
      </c>
      <c r="H297">
        <v>241</v>
      </c>
      <c r="I297" t="s">
        <v>316</v>
      </c>
    </row>
    <row r="298" spans="1:9" x14ac:dyDescent="0.35">
      <c r="A298" s="7">
        <v>297</v>
      </c>
      <c r="B298">
        <v>1</v>
      </c>
      <c r="C298">
        <v>0</v>
      </c>
      <c r="D298">
        <v>3315</v>
      </c>
      <c r="E298">
        <v>220</v>
      </c>
      <c r="F298">
        <v>2500</v>
      </c>
      <c r="G298">
        <v>11</v>
      </c>
      <c r="H298">
        <v>242</v>
      </c>
      <c r="I298" t="s">
        <v>317</v>
      </c>
    </row>
    <row r="299" spans="1:9" x14ac:dyDescent="0.35">
      <c r="A299" s="7">
        <v>298</v>
      </c>
      <c r="B299">
        <v>1</v>
      </c>
      <c r="C299">
        <v>0</v>
      </c>
      <c r="D299">
        <v>3565</v>
      </c>
      <c r="E299">
        <v>220</v>
      </c>
      <c r="F299">
        <v>2500</v>
      </c>
      <c r="G299">
        <v>11</v>
      </c>
      <c r="H299">
        <v>243</v>
      </c>
      <c r="I299" t="s">
        <v>318</v>
      </c>
    </row>
    <row r="300" spans="1:9" x14ac:dyDescent="0.35">
      <c r="A300" s="7">
        <v>299</v>
      </c>
      <c r="B300">
        <v>1</v>
      </c>
      <c r="C300">
        <v>0</v>
      </c>
      <c r="D300">
        <v>3815</v>
      </c>
      <c r="E300">
        <v>220</v>
      </c>
      <c r="F300">
        <v>2500</v>
      </c>
      <c r="G300">
        <v>11</v>
      </c>
      <c r="H300">
        <v>244</v>
      </c>
      <c r="I300" t="s">
        <v>319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7BE1-6429-4684-89B4-E4889215BF22}">
  <dimension ref="A1:D137"/>
  <sheetViews>
    <sheetView topLeftCell="A108" zoomScale="175" zoomScaleNormal="175" workbookViewId="0">
      <selection activeCell="C2" sqref="C2:D137"/>
    </sheetView>
  </sheetViews>
  <sheetFormatPr defaultRowHeight="14.5" x14ac:dyDescent="0.35"/>
  <cols>
    <col min="2" max="2" width="14.54296875" customWidth="1"/>
    <col min="4" max="4" width="10.54296875" bestFit="1" customWidth="1"/>
  </cols>
  <sheetData>
    <row r="1" spans="1:4" x14ac:dyDescent="0.35">
      <c r="A1" s="1" t="s">
        <v>0</v>
      </c>
      <c r="B1" s="1" t="s">
        <v>10</v>
      </c>
      <c r="C1" s="1" t="s">
        <v>2</v>
      </c>
      <c r="D1" s="1" t="s">
        <v>5</v>
      </c>
    </row>
    <row r="2" spans="1:4" x14ac:dyDescent="0.35">
      <c r="A2" s="2">
        <v>137</v>
      </c>
      <c r="B2" t="s">
        <v>155</v>
      </c>
      <c r="C2" s="8" t="s">
        <v>320</v>
      </c>
      <c r="D2" s="8" t="s">
        <v>321</v>
      </c>
    </row>
    <row r="3" spans="1:4" x14ac:dyDescent="0.35">
      <c r="A3" s="2">
        <v>138</v>
      </c>
      <c r="B3" t="s">
        <v>156</v>
      </c>
      <c r="C3" s="8" t="str">
        <f>D2</f>
        <v>14.38.53</v>
      </c>
      <c r="D3" s="8" t="s">
        <v>322</v>
      </c>
    </row>
    <row r="4" spans="1:4" x14ac:dyDescent="0.35">
      <c r="A4" s="2">
        <v>139</v>
      </c>
      <c r="B4" t="s">
        <v>157</v>
      </c>
      <c r="C4" s="8" t="str">
        <f t="shared" ref="C4:C67" si="0">D3</f>
        <v>14.39.19</v>
      </c>
      <c r="D4" s="8" t="s">
        <v>323</v>
      </c>
    </row>
    <row r="5" spans="1:4" x14ac:dyDescent="0.35">
      <c r="A5" s="2">
        <v>140</v>
      </c>
      <c r="B5" t="s">
        <v>158</v>
      </c>
      <c r="C5" s="8" t="str">
        <f t="shared" si="0"/>
        <v>14.39.49</v>
      </c>
      <c r="D5" s="8" t="s">
        <v>324</v>
      </c>
    </row>
    <row r="6" spans="1:4" x14ac:dyDescent="0.35">
      <c r="A6" s="2">
        <v>141</v>
      </c>
      <c r="B6" t="s">
        <v>159</v>
      </c>
      <c r="C6" s="8" t="str">
        <f t="shared" si="0"/>
        <v>14.40.13</v>
      </c>
      <c r="D6" s="8" t="s">
        <v>325</v>
      </c>
    </row>
    <row r="7" spans="1:4" x14ac:dyDescent="0.35">
      <c r="A7" s="2">
        <v>142</v>
      </c>
      <c r="B7" t="s">
        <v>160</v>
      </c>
      <c r="C7" s="8" t="str">
        <f t="shared" si="0"/>
        <v>14.41.01</v>
      </c>
      <c r="D7" s="8" t="s">
        <v>326</v>
      </c>
    </row>
    <row r="8" spans="1:4" x14ac:dyDescent="0.35">
      <c r="A8" s="2">
        <v>143</v>
      </c>
      <c r="B8" t="s">
        <v>161</v>
      </c>
      <c r="C8" s="8" t="str">
        <f t="shared" si="0"/>
        <v>14.41.25</v>
      </c>
      <c r="D8" s="8" t="s">
        <v>327</v>
      </c>
    </row>
    <row r="9" spans="1:4" x14ac:dyDescent="0.35">
      <c r="A9" s="2">
        <v>144</v>
      </c>
      <c r="B9" t="s">
        <v>162</v>
      </c>
      <c r="C9" s="8" t="str">
        <f t="shared" si="0"/>
        <v>14.41.47</v>
      </c>
      <c r="D9" s="8" t="s">
        <v>328</v>
      </c>
    </row>
    <row r="10" spans="1:4" x14ac:dyDescent="0.35">
      <c r="A10" s="2">
        <v>145</v>
      </c>
      <c r="B10" t="s">
        <v>163</v>
      </c>
      <c r="C10" s="8" t="str">
        <f t="shared" si="0"/>
        <v>14.42.13</v>
      </c>
      <c r="D10" s="8" t="s">
        <v>329</v>
      </c>
    </row>
    <row r="11" spans="1:4" x14ac:dyDescent="0.35">
      <c r="A11" s="2">
        <v>146</v>
      </c>
      <c r="B11" t="s">
        <v>164</v>
      </c>
      <c r="C11" s="8" t="str">
        <f t="shared" si="0"/>
        <v>14.42.37</v>
      </c>
      <c r="D11" s="8" t="s">
        <v>330</v>
      </c>
    </row>
    <row r="12" spans="1:4" x14ac:dyDescent="0.35">
      <c r="A12" s="2">
        <v>147</v>
      </c>
      <c r="B12" t="s">
        <v>165</v>
      </c>
      <c r="C12" s="8" t="s">
        <v>331</v>
      </c>
      <c r="D12" s="8" t="s">
        <v>332</v>
      </c>
    </row>
    <row r="13" spans="1:4" x14ac:dyDescent="0.35">
      <c r="A13" s="2">
        <v>148</v>
      </c>
      <c r="B13" t="s">
        <v>166</v>
      </c>
      <c r="C13" s="8" t="str">
        <f t="shared" si="0"/>
        <v>14.44.20</v>
      </c>
      <c r="D13" s="8" t="s">
        <v>333</v>
      </c>
    </row>
    <row r="14" spans="1:4" x14ac:dyDescent="0.35">
      <c r="A14" s="2">
        <v>149</v>
      </c>
      <c r="B14" t="s">
        <v>167</v>
      </c>
      <c r="C14" s="8" t="str">
        <f t="shared" si="0"/>
        <v>14.44.52</v>
      </c>
      <c r="D14" s="8" t="s">
        <v>334</v>
      </c>
    </row>
    <row r="15" spans="1:4" x14ac:dyDescent="0.35">
      <c r="A15" s="2">
        <v>150</v>
      </c>
      <c r="B15" t="s">
        <v>168</v>
      </c>
      <c r="C15" s="8" t="str">
        <f t="shared" si="0"/>
        <v>14.45.23</v>
      </c>
      <c r="D15" s="8" t="s">
        <v>335</v>
      </c>
    </row>
    <row r="16" spans="1:4" x14ac:dyDescent="0.35">
      <c r="A16" s="2">
        <v>151</v>
      </c>
      <c r="B16" t="s">
        <v>169</v>
      </c>
      <c r="C16" s="8" t="str">
        <f t="shared" si="0"/>
        <v>14.45.52</v>
      </c>
      <c r="D16" s="8" t="s">
        <v>336</v>
      </c>
    </row>
    <row r="17" spans="1:4" x14ac:dyDescent="0.35">
      <c r="A17" s="2">
        <v>152</v>
      </c>
      <c r="B17" t="s">
        <v>170</v>
      </c>
      <c r="C17" s="8" t="str">
        <f t="shared" si="0"/>
        <v>14.46.25</v>
      </c>
      <c r="D17" s="8" t="s">
        <v>337</v>
      </c>
    </row>
    <row r="18" spans="1:4" x14ac:dyDescent="0.35">
      <c r="A18" s="2">
        <v>153</v>
      </c>
      <c r="B18" t="s">
        <v>171</v>
      </c>
      <c r="C18" s="8" t="str">
        <f t="shared" si="0"/>
        <v>14.46.57</v>
      </c>
      <c r="D18" s="8" t="s">
        <v>338</v>
      </c>
    </row>
    <row r="19" spans="1:4" x14ac:dyDescent="0.35">
      <c r="A19" s="2">
        <v>154</v>
      </c>
      <c r="B19" t="s">
        <v>172</v>
      </c>
      <c r="C19" s="8" t="str">
        <f t="shared" si="0"/>
        <v>14.47.32</v>
      </c>
      <c r="D19" s="8" t="s">
        <v>339</v>
      </c>
    </row>
    <row r="20" spans="1:4" x14ac:dyDescent="0.35">
      <c r="A20" s="2">
        <v>155</v>
      </c>
      <c r="B20" t="s">
        <v>173</v>
      </c>
      <c r="C20" s="8" t="str">
        <f t="shared" si="0"/>
        <v>14.48.09</v>
      </c>
      <c r="D20" s="8" t="s">
        <v>340</v>
      </c>
    </row>
    <row r="21" spans="1:4" x14ac:dyDescent="0.35">
      <c r="A21" s="2">
        <v>156</v>
      </c>
      <c r="B21" t="s">
        <v>174</v>
      </c>
      <c r="C21" s="8" t="str">
        <f t="shared" si="0"/>
        <v>14.48.46</v>
      </c>
      <c r="D21" s="8" t="s">
        <v>341</v>
      </c>
    </row>
    <row r="22" spans="1:4" x14ac:dyDescent="0.35">
      <c r="A22" s="2">
        <v>157</v>
      </c>
      <c r="B22" t="s">
        <v>175</v>
      </c>
      <c r="C22" s="8" t="str">
        <f t="shared" si="0"/>
        <v>14.49.14</v>
      </c>
      <c r="D22" s="8" t="s">
        <v>342</v>
      </c>
    </row>
    <row r="23" spans="1:4" x14ac:dyDescent="0.35">
      <c r="A23" s="2">
        <v>158</v>
      </c>
      <c r="B23" t="s">
        <v>176</v>
      </c>
      <c r="C23" s="8" t="str">
        <f t="shared" si="0"/>
        <v>14.50.37</v>
      </c>
      <c r="D23" s="8" t="s">
        <v>344</v>
      </c>
    </row>
    <row r="24" spans="1:4" x14ac:dyDescent="0.35">
      <c r="A24" s="2">
        <v>159</v>
      </c>
      <c r="B24" t="s">
        <v>177</v>
      </c>
      <c r="C24" s="8" t="str">
        <f t="shared" si="0"/>
        <v>14.51.10</v>
      </c>
      <c r="D24" s="8" t="s">
        <v>345</v>
      </c>
    </row>
    <row r="25" spans="1:4" x14ac:dyDescent="0.35">
      <c r="A25" s="2">
        <v>160</v>
      </c>
      <c r="B25" t="s">
        <v>178</v>
      </c>
      <c r="C25" s="8" t="str">
        <f t="shared" si="0"/>
        <v>14.51.43</v>
      </c>
      <c r="D25" s="8" t="s">
        <v>346</v>
      </c>
    </row>
    <row r="26" spans="1:4" x14ac:dyDescent="0.35">
      <c r="A26" s="2">
        <v>161</v>
      </c>
      <c r="B26" t="s">
        <v>179</v>
      </c>
      <c r="C26" s="8" t="str">
        <f t="shared" si="0"/>
        <v>14.52.19</v>
      </c>
      <c r="D26" s="8" t="s">
        <v>347</v>
      </c>
    </row>
    <row r="27" spans="1:4" x14ac:dyDescent="0.35">
      <c r="A27" s="2">
        <v>162</v>
      </c>
      <c r="B27" t="s">
        <v>180</v>
      </c>
      <c r="C27" s="8" t="s">
        <v>348</v>
      </c>
      <c r="D27" s="8" t="s">
        <v>349</v>
      </c>
    </row>
    <row r="28" spans="1:4" x14ac:dyDescent="0.35">
      <c r="A28" s="2">
        <v>163</v>
      </c>
      <c r="B28" t="s">
        <v>181</v>
      </c>
      <c r="C28" s="8" t="str">
        <f t="shared" si="0"/>
        <v>14.57.00</v>
      </c>
      <c r="D28" s="8" t="s">
        <v>350</v>
      </c>
    </row>
    <row r="29" spans="1:4" x14ac:dyDescent="0.35">
      <c r="A29" s="2">
        <v>164</v>
      </c>
      <c r="B29" t="s">
        <v>182</v>
      </c>
      <c r="C29" s="8" t="str">
        <f t="shared" si="0"/>
        <v>14.57.27</v>
      </c>
      <c r="D29" s="8" t="s">
        <v>351</v>
      </c>
    </row>
    <row r="30" spans="1:4" x14ac:dyDescent="0.35">
      <c r="A30" s="2">
        <v>165</v>
      </c>
      <c r="B30" t="s">
        <v>183</v>
      </c>
      <c r="C30" s="8" t="str">
        <f t="shared" si="0"/>
        <v>14.58.01</v>
      </c>
      <c r="D30" s="8" t="s">
        <v>352</v>
      </c>
    </row>
    <row r="31" spans="1:4" x14ac:dyDescent="0.35">
      <c r="A31" s="2">
        <v>166</v>
      </c>
      <c r="B31" t="s">
        <v>184</v>
      </c>
      <c r="C31" s="8" t="str">
        <f t="shared" si="0"/>
        <v>14.58.59</v>
      </c>
      <c r="D31" s="8" t="s">
        <v>353</v>
      </c>
    </row>
    <row r="32" spans="1:4" x14ac:dyDescent="0.35">
      <c r="A32" s="2">
        <v>167</v>
      </c>
      <c r="B32" t="s">
        <v>185</v>
      </c>
      <c r="C32" s="8" t="str">
        <f t="shared" si="0"/>
        <v>14.59.30</v>
      </c>
      <c r="D32" s="8" t="s">
        <v>354</v>
      </c>
    </row>
    <row r="33" spans="1:4" x14ac:dyDescent="0.35">
      <c r="A33" s="2">
        <v>168</v>
      </c>
      <c r="B33" t="s">
        <v>186</v>
      </c>
      <c r="C33" s="8" t="str">
        <f t="shared" si="0"/>
        <v>15.00.35</v>
      </c>
      <c r="D33" s="8" t="s">
        <v>355</v>
      </c>
    </row>
    <row r="34" spans="1:4" x14ac:dyDescent="0.35">
      <c r="A34" s="2">
        <v>169</v>
      </c>
      <c r="B34" t="s">
        <v>187</v>
      </c>
      <c r="C34" s="8" t="str">
        <f t="shared" si="0"/>
        <v>15.01.05</v>
      </c>
      <c r="D34" s="8" t="s">
        <v>356</v>
      </c>
    </row>
    <row r="35" spans="1:4" x14ac:dyDescent="0.35">
      <c r="A35" s="2">
        <v>170</v>
      </c>
      <c r="B35" t="s">
        <v>188</v>
      </c>
      <c r="C35" s="8" t="str">
        <f t="shared" si="0"/>
        <v>15.01.35</v>
      </c>
      <c r="D35" s="8" t="s">
        <v>357</v>
      </c>
    </row>
    <row r="36" spans="1:4" x14ac:dyDescent="0.35">
      <c r="A36" s="2">
        <v>171</v>
      </c>
      <c r="B36" t="s">
        <v>189</v>
      </c>
      <c r="C36" s="8" t="str">
        <f t="shared" si="0"/>
        <v>15.02.08</v>
      </c>
      <c r="D36" s="8" t="s">
        <v>358</v>
      </c>
    </row>
    <row r="37" spans="1:4" x14ac:dyDescent="0.35">
      <c r="A37" s="2">
        <v>172</v>
      </c>
      <c r="B37" t="s">
        <v>190</v>
      </c>
      <c r="C37" s="8" t="str">
        <f t="shared" si="0"/>
        <v>15.02.42</v>
      </c>
      <c r="D37" s="8" t="s">
        <v>359</v>
      </c>
    </row>
    <row r="38" spans="1:4" x14ac:dyDescent="0.35">
      <c r="A38" s="2">
        <v>173</v>
      </c>
      <c r="B38" t="s">
        <v>191</v>
      </c>
      <c r="C38" s="8" t="str">
        <f t="shared" si="0"/>
        <v>15.03.13</v>
      </c>
      <c r="D38" s="8" t="s">
        <v>361</v>
      </c>
    </row>
    <row r="39" spans="1:4" x14ac:dyDescent="0.35">
      <c r="A39" s="2">
        <v>174</v>
      </c>
      <c r="B39" t="s">
        <v>192</v>
      </c>
      <c r="C39" s="8" t="str">
        <f t="shared" si="0"/>
        <v>15.05.27</v>
      </c>
      <c r="D39" s="8" t="s">
        <v>362</v>
      </c>
    </row>
    <row r="40" spans="1:4" x14ac:dyDescent="0.35">
      <c r="A40" s="2">
        <v>179</v>
      </c>
      <c r="B40" t="s">
        <v>197</v>
      </c>
      <c r="C40" s="8" t="s">
        <v>365</v>
      </c>
      <c r="D40" s="8" t="s">
        <v>366</v>
      </c>
    </row>
    <row r="41" spans="1:4" x14ac:dyDescent="0.35">
      <c r="A41" s="2">
        <v>180</v>
      </c>
      <c r="B41" t="s">
        <v>198</v>
      </c>
      <c r="C41" s="8" t="str">
        <f t="shared" si="0"/>
        <v>15.16.05</v>
      </c>
      <c r="D41" s="8" t="s">
        <v>367</v>
      </c>
    </row>
    <row r="42" spans="1:4" x14ac:dyDescent="0.35">
      <c r="A42" s="2">
        <v>181</v>
      </c>
      <c r="B42" t="s">
        <v>200</v>
      </c>
      <c r="C42" s="8" t="str">
        <f t="shared" si="0"/>
        <v>15.16.38</v>
      </c>
      <c r="D42" s="8" t="s">
        <v>368</v>
      </c>
    </row>
    <row r="43" spans="1:4" x14ac:dyDescent="0.35">
      <c r="A43" s="2">
        <v>182</v>
      </c>
      <c r="B43" t="s">
        <v>202</v>
      </c>
      <c r="C43" s="8" t="str">
        <f t="shared" si="0"/>
        <v>15.17.20</v>
      </c>
      <c r="D43" s="8" t="s">
        <v>369</v>
      </c>
    </row>
    <row r="44" spans="1:4" x14ac:dyDescent="0.35">
      <c r="A44" s="2">
        <v>183</v>
      </c>
      <c r="B44" t="s">
        <v>203</v>
      </c>
      <c r="C44" s="8" t="str">
        <f t="shared" si="0"/>
        <v>15.17.48</v>
      </c>
      <c r="D44" s="8" t="s">
        <v>370</v>
      </c>
    </row>
    <row r="45" spans="1:4" x14ac:dyDescent="0.35">
      <c r="A45" s="2">
        <v>184</v>
      </c>
      <c r="B45" t="s">
        <v>204</v>
      </c>
      <c r="C45" s="8" t="str">
        <f t="shared" si="0"/>
        <v>15.18.16</v>
      </c>
      <c r="D45" s="8" t="s">
        <v>371</v>
      </c>
    </row>
    <row r="46" spans="1:4" x14ac:dyDescent="0.35">
      <c r="A46" s="2">
        <v>185</v>
      </c>
      <c r="B46" t="s">
        <v>205</v>
      </c>
      <c r="C46" s="8" t="str">
        <f t="shared" si="0"/>
        <v>15.18.42</v>
      </c>
      <c r="D46" s="8" t="s">
        <v>372</v>
      </c>
    </row>
    <row r="47" spans="1:4" x14ac:dyDescent="0.35">
      <c r="A47" s="2">
        <v>186</v>
      </c>
      <c r="B47" t="s">
        <v>206</v>
      </c>
      <c r="C47" s="8" t="str">
        <f t="shared" si="0"/>
        <v>15.19.09</v>
      </c>
      <c r="D47" s="8" t="s">
        <v>373</v>
      </c>
    </row>
    <row r="48" spans="1:4" x14ac:dyDescent="0.35">
      <c r="A48" s="2">
        <v>187</v>
      </c>
      <c r="B48" t="s">
        <v>207</v>
      </c>
      <c r="C48" s="8" t="s">
        <v>374</v>
      </c>
      <c r="D48" s="8" t="s">
        <v>375</v>
      </c>
    </row>
    <row r="49" spans="1:4" x14ac:dyDescent="0.35">
      <c r="A49" s="2">
        <v>188</v>
      </c>
      <c r="B49" t="s">
        <v>208</v>
      </c>
      <c r="C49" s="8" t="str">
        <f t="shared" si="0"/>
        <v>15.37.05</v>
      </c>
      <c r="D49" s="8" t="s">
        <v>376</v>
      </c>
    </row>
    <row r="50" spans="1:4" x14ac:dyDescent="0.35">
      <c r="A50" s="2">
        <v>189</v>
      </c>
      <c r="B50" t="s">
        <v>209</v>
      </c>
      <c r="C50" s="8" t="str">
        <f t="shared" si="0"/>
        <v>15.37.51</v>
      </c>
      <c r="D50" s="8" t="s">
        <v>377</v>
      </c>
    </row>
    <row r="51" spans="1:4" x14ac:dyDescent="0.35">
      <c r="A51" s="2">
        <v>190</v>
      </c>
      <c r="B51" t="s">
        <v>210</v>
      </c>
      <c r="C51" s="8" t="str">
        <f t="shared" si="0"/>
        <v>15.39.29</v>
      </c>
      <c r="D51" s="8" t="s">
        <v>378</v>
      </c>
    </row>
    <row r="52" spans="1:4" x14ac:dyDescent="0.35">
      <c r="A52" s="2">
        <v>191</v>
      </c>
      <c r="B52" t="s">
        <v>211</v>
      </c>
      <c r="C52" s="8" t="str">
        <f t="shared" si="0"/>
        <v>15.40.02</v>
      </c>
      <c r="D52" s="8" t="s">
        <v>379</v>
      </c>
    </row>
    <row r="53" spans="1:4" x14ac:dyDescent="0.35">
      <c r="A53" s="2">
        <v>192</v>
      </c>
      <c r="B53" t="s">
        <v>212</v>
      </c>
      <c r="C53" s="8" t="str">
        <f t="shared" si="0"/>
        <v>15.40.47</v>
      </c>
      <c r="D53" s="8" t="s">
        <v>380</v>
      </c>
    </row>
    <row r="54" spans="1:4" x14ac:dyDescent="0.35">
      <c r="A54" s="2">
        <v>193</v>
      </c>
      <c r="B54" t="s">
        <v>213</v>
      </c>
      <c r="C54" s="8" t="str">
        <f t="shared" si="0"/>
        <v>15.41.13</v>
      </c>
      <c r="D54" s="8" t="s">
        <v>381</v>
      </c>
    </row>
    <row r="55" spans="1:4" x14ac:dyDescent="0.35">
      <c r="A55" s="2">
        <v>194</v>
      </c>
      <c r="B55" t="s">
        <v>214</v>
      </c>
      <c r="C55" s="8" t="str">
        <f t="shared" si="0"/>
        <v>15.41.43</v>
      </c>
      <c r="D55" s="8" t="s">
        <v>382</v>
      </c>
    </row>
    <row r="56" spans="1:4" x14ac:dyDescent="0.35">
      <c r="A56" s="2">
        <v>195</v>
      </c>
      <c r="B56" t="s">
        <v>215</v>
      </c>
      <c r="C56" s="8" t="str">
        <f t="shared" si="0"/>
        <v>15.42.14</v>
      </c>
      <c r="D56" s="8" t="s">
        <v>383</v>
      </c>
    </row>
    <row r="57" spans="1:4" x14ac:dyDescent="0.35">
      <c r="A57" s="2">
        <v>196</v>
      </c>
      <c r="B57" t="s">
        <v>216</v>
      </c>
      <c r="C57" s="8" t="s">
        <v>384</v>
      </c>
      <c r="D57" s="8" t="s">
        <v>385</v>
      </c>
    </row>
    <row r="58" spans="1:4" x14ac:dyDescent="0.35">
      <c r="A58" s="2">
        <v>197</v>
      </c>
      <c r="B58" t="s">
        <v>217</v>
      </c>
      <c r="C58" s="8" t="str">
        <f t="shared" si="0"/>
        <v>15.44.18</v>
      </c>
      <c r="D58" s="8" t="s">
        <v>386</v>
      </c>
    </row>
    <row r="59" spans="1:4" x14ac:dyDescent="0.35">
      <c r="A59" s="2">
        <v>198</v>
      </c>
      <c r="B59" t="s">
        <v>218</v>
      </c>
      <c r="C59" s="8" t="str">
        <f t="shared" si="0"/>
        <v>15.44.59</v>
      </c>
      <c r="D59" s="8" t="s">
        <v>387</v>
      </c>
    </row>
    <row r="60" spans="1:4" x14ac:dyDescent="0.35">
      <c r="A60" s="2">
        <v>199</v>
      </c>
      <c r="B60" t="s">
        <v>219</v>
      </c>
      <c r="C60" s="8" t="str">
        <f t="shared" si="0"/>
        <v>15.45.37</v>
      </c>
      <c r="D60" s="8" t="s">
        <v>388</v>
      </c>
    </row>
    <row r="61" spans="1:4" x14ac:dyDescent="0.35">
      <c r="A61" s="2">
        <v>200</v>
      </c>
      <c r="B61" t="s">
        <v>220</v>
      </c>
      <c r="C61" s="8" t="str">
        <f t="shared" si="0"/>
        <v>15.46.13</v>
      </c>
      <c r="D61" s="8" t="s">
        <v>389</v>
      </c>
    </row>
    <row r="62" spans="1:4" x14ac:dyDescent="0.35">
      <c r="A62" s="2">
        <v>201</v>
      </c>
      <c r="B62" t="s">
        <v>221</v>
      </c>
      <c r="C62" s="8" t="str">
        <f t="shared" si="0"/>
        <v>15.46.47</v>
      </c>
      <c r="D62" s="8" t="s">
        <v>390</v>
      </c>
    </row>
    <row r="63" spans="1:4" x14ac:dyDescent="0.35">
      <c r="A63" s="2">
        <v>202</v>
      </c>
      <c r="B63" t="s">
        <v>222</v>
      </c>
      <c r="C63" s="8" t="str">
        <f t="shared" si="0"/>
        <v>15.47.21</v>
      </c>
      <c r="D63" s="8" t="s">
        <v>391</v>
      </c>
    </row>
    <row r="64" spans="1:4" x14ac:dyDescent="0.35">
      <c r="A64" s="2">
        <v>203</v>
      </c>
      <c r="B64" t="s">
        <v>223</v>
      </c>
      <c r="C64" s="8" t="str">
        <f t="shared" si="0"/>
        <v>15.47.58</v>
      </c>
      <c r="D64" s="8" t="s">
        <v>392</v>
      </c>
    </row>
    <row r="65" spans="1:4" x14ac:dyDescent="0.35">
      <c r="A65" s="2">
        <v>204</v>
      </c>
      <c r="B65" t="s">
        <v>224</v>
      </c>
      <c r="C65" s="8" t="str">
        <f t="shared" si="0"/>
        <v>15.48.36</v>
      </c>
      <c r="D65" s="8" t="s">
        <v>393</v>
      </c>
    </row>
    <row r="66" spans="1:4" x14ac:dyDescent="0.35">
      <c r="A66" s="2">
        <v>205</v>
      </c>
      <c r="B66" t="s">
        <v>225</v>
      </c>
      <c r="C66" s="8" t="str">
        <f t="shared" si="0"/>
        <v>15.49.13</v>
      </c>
      <c r="D66" s="8" t="s">
        <v>394</v>
      </c>
    </row>
    <row r="67" spans="1:4" x14ac:dyDescent="0.35">
      <c r="A67" s="2">
        <v>206</v>
      </c>
      <c r="B67" t="s">
        <v>226</v>
      </c>
      <c r="C67" s="8" t="str">
        <f t="shared" si="0"/>
        <v>15.49.50</v>
      </c>
      <c r="D67" s="8" t="s">
        <v>395</v>
      </c>
    </row>
    <row r="68" spans="1:4" x14ac:dyDescent="0.35">
      <c r="A68" s="2">
        <v>207</v>
      </c>
      <c r="B68" t="s">
        <v>227</v>
      </c>
      <c r="C68" s="8" t="str">
        <f t="shared" ref="C68:C131" si="1">D67</f>
        <v>15.50.31</v>
      </c>
      <c r="D68" s="8" t="s">
        <v>396</v>
      </c>
    </row>
    <row r="69" spans="1:4" x14ac:dyDescent="0.35">
      <c r="A69" s="2">
        <v>208</v>
      </c>
      <c r="B69" t="s">
        <v>228</v>
      </c>
      <c r="C69" s="8" t="str">
        <f t="shared" si="1"/>
        <v>15.51.13</v>
      </c>
      <c r="D69" s="8" t="s">
        <v>397</v>
      </c>
    </row>
    <row r="70" spans="1:4" x14ac:dyDescent="0.35">
      <c r="A70" s="2">
        <v>209</v>
      </c>
      <c r="B70" t="s">
        <v>229</v>
      </c>
      <c r="C70" s="8" t="str">
        <f t="shared" si="1"/>
        <v>15.52.02</v>
      </c>
      <c r="D70" s="8" t="s">
        <v>398</v>
      </c>
    </row>
    <row r="71" spans="1:4" x14ac:dyDescent="0.35">
      <c r="A71" s="2">
        <v>210</v>
      </c>
      <c r="B71" t="s">
        <v>230</v>
      </c>
      <c r="C71" s="8" t="str">
        <f t="shared" si="1"/>
        <v>15.52.44</v>
      </c>
      <c r="D71" s="8" t="s">
        <v>399</v>
      </c>
    </row>
    <row r="72" spans="1:4" x14ac:dyDescent="0.35">
      <c r="A72" s="2">
        <v>211</v>
      </c>
      <c r="B72" t="s">
        <v>231</v>
      </c>
      <c r="C72" s="8" t="s">
        <v>401</v>
      </c>
      <c r="D72" s="8" t="s">
        <v>402</v>
      </c>
    </row>
    <row r="73" spans="1:4" x14ac:dyDescent="0.35">
      <c r="A73" s="2">
        <v>212</v>
      </c>
      <c r="B73" t="s">
        <v>232</v>
      </c>
      <c r="C73" s="8" t="str">
        <f t="shared" si="1"/>
        <v>16.19.23</v>
      </c>
      <c r="D73" s="8" t="s">
        <v>403</v>
      </c>
    </row>
    <row r="74" spans="1:4" x14ac:dyDescent="0.35">
      <c r="A74" s="2">
        <v>213</v>
      </c>
      <c r="B74" t="s">
        <v>233</v>
      </c>
      <c r="C74" s="8" t="str">
        <f t="shared" si="1"/>
        <v>16.19.54</v>
      </c>
      <c r="D74" s="8" t="s">
        <v>404</v>
      </c>
    </row>
    <row r="75" spans="1:4" x14ac:dyDescent="0.35">
      <c r="A75" s="2">
        <v>214</v>
      </c>
      <c r="B75" t="s">
        <v>234</v>
      </c>
      <c r="C75" s="8" t="str">
        <f t="shared" si="1"/>
        <v>16.20.26</v>
      </c>
      <c r="D75" s="8" t="s">
        <v>405</v>
      </c>
    </row>
    <row r="76" spans="1:4" x14ac:dyDescent="0.35">
      <c r="A76" s="2">
        <v>215</v>
      </c>
      <c r="B76" t="s">
        <v>235</v>
      </c>
      <c r="C76" s="8" t="str">
        <f t="shared" si="1"/>
        <v>16.20.57</v>
      </c>
      <c r="D76" s="8" t="s">
        <v>406</v>
      </c>
    </row>
    <row r="77" spans="1:4" x14ac:dyDescent="0.35">
      <c r="A77" s="2">
        <v>216</v>
      </c>
      <c r="B77" t="s">
        <v>236</v>
      </c>
      <c r="C77" s="8" t="str">
        <f t="shared" si="1"/>
        <v>16.21.27</v>
      </c>
      <c r="D77" s="8" t="s">
        <v>407</v>
      </c>
    </row>
    <row r="78" spans="1:4" x14ac:dyDescent="0.35">
      <c r="A78" s="2">
        <v>217</v>
      </c>
      <c r="B78" t="s">
        <v>237</v>
      </c>
      <c r="C78" s="8" t="str">
        <f t="shared" si="1"/>
        <v>16.22.01</v>
      </c>
      <c r="D78" s="8" t="s">
        <v>408</v>
      </c>
    </row>
    <row r="79" spans="1:4" x14ac:dyDescent="0.35">
      <c r="A79" s="2">
        <v>218</v>
      </c>
      <c r="B79" t="s">
        <v>238</v>
      </c>
      <c r="C79" s="8" t="str">
        <f t="shared" si="1"/>
        <v>16.22.35</v>
      </c>
      <c r="D79" s="8" t="s">
        <v>409</v>
      </c>
    </row>
    <row r="80" spans="1:4" x14ac:dyDescent="0.35">
      <c r="A80" s="2">
        <v>219</v>
      </c>
      <c r="B80" t="s">
        <v>239</v>
      </c>
      <c r="C80" s="8" t="str">
        <f t="shared" si="1"/>
        <v>16.23.07</v>
      </c>
      <c r="D80" s="8" t="s">
        <v>410</v>
      </c>
    </row>
    <row r="81" spans="1:4" x14ac:dyDescent="0.35">
      <c r="A81" s="2">
        <v>220</v>
      </c>
      <c r="B81" t="s">
        <v>240</v>
      </c>
      <c r="C81" s="8" t="str">
        <f t="shared" si="1"/>
        <v>16.23.42</v>
      </c>
      <c r="D81" s="8" t="s">
        <v>411</v>
      </c>
    </row>
    <row r="82" spans="1:4" x14ac:dyDescent="0.35">
      <c r="A82" s="2">
        <v>221</v>
      </c>
      <c r="B82" t="s">
        <v>241</v>
      </c>
      <c r="C82" s="8" t="str">
        <f t="shared" si="1"/>
        <v>16.24.17</v>
      </c>
      <c r="D82" s="8" t="s">
        <v>412</v>
      </c>
    </row>
    <row r="83" spans="1:4" x14ac:dyDescent="0.35">
      <c r="A83" s="2">
        <v>222</v>
      </c>
      <c r="B83" t="s">
        <v>242</v>
      </c>
      <c r="C83" s="8" t="str">
        <f t="shared" si="1"/>
        <v>16.24.51</v>
      </c>
      <c r="D83" s="8" t="s">
        <v>413</v>
      </c>
    </row>
    <row r="84" spans="1:4" x14ac:dyDescent="0.35">
      <c r="A84" s="2">
        <v>223</v>
      </c>
      <c r="B84" t="s">
        <v>243</v>
      </c>
      <c r="C84" s="8" t="str">
        <f t="shared" si="1"/>
        <v>16.25.32</v>
      </c>
      <c r="D84" s="8" t="s">
        <v>414</v>
      </c>
    </row>
    <row r="85" spans="1:4" x14ac:dyDescent="0.35">
      <c r="A85" s="2">
        <v>224</v>
      </c>
      <c r="B85" t="s">
        <v>244</v>
      </c>
      <c r="C85" s="8" t="str">
        <f t="shared" si="1"/>
        <v>16.26.10</v>
      </c>
      <c r="D85" s="8" t="s">
        <v>415</v>
      </c>
    </row>
    <row r="86" spans="1:4" x14ac:dyDescent="0.35">
      <c r="A86" s="2">
        <v>225</v>
      </c>
      <c r="B86" t="s">
        <v>245</v>
      </c>
      <c r="C86" s="8" t="str">
        <f t="shared" si="1"/>
        <v>16.26.50</v>
      </c>
      <c r="D86" s="8" t="s">
        <v>416</v>
      </c>
    </row>
    <row r="87" spans="1:4" x14ac:dyDescent="0.35">
      <c r="A87" s="2">
        <v>226</v>
      </c>
      <c r="B87" t="s">
        <v>246</v>
      </c>
      <c r="C87" s="8" t="str">
        <f t="shared" si="1"/>
        <v>16.27.27</v>
      </c>
      <c r="D87" s="8" t="s">
        <v>417</v>
      </c>
    </row>
    <row r="88" spans="1:4" x14ac:dyDescent="0.35">
      <c r="A88" s="2">
        <v>227</v>
      </c>
      <c r="B88" t="s">
        <v>247</v>
      </c>
      <c r="C88" s="8" t="str">
        <f t="shared" si="1"/>
        <v>16.28.01</v>
      </c>
      <c r="D88" s="8" t="s">
        <v>418</v>
      </c>
    </row>
    <row r="89" spans="1:4" x14ac:dyDescent="0.35">
      <c r="A89" s="2">
        <v>228</v>
      </c>
      <c r="B89" t="s">
        <v>248</v>
      </c>
      <c r="C89" s="8" t="s">
        <v>420</v>
      </c>
      <c r="D89" s="8" t="s">
        <v>422</v>
      </c>
    </row>
    <row r="90" spans="1:4" x14ac:dyDescent="0.35">
      <c r="A90" s="2">
        <v>229</v>
      </c>
      <c r="B90" t="s">
        <v>249</v>
      </c>
      <c r="C90" s="8" t="str">
        <f t="shared" si="1"/>
        <v>16.32.25</v>
      </c>
      <c r="D90" s="8" t="s">
        <v>423</v>
      </c>
    </row>
    <row r="91" spans="1:4" x14ac:dyDescent="0.35">
      <c r="A91" s="2">
        <v>230</v>
      </c>
      <c r="B91" t="s">
        <v>250</v>
      </c>
      <c r="C91" s="8" t="str">
        <f t="shared" si="1"/>
        <v>16.32.56</v>
      </c>
      <c r="D91" s="8" t="s">
        <v>424</v>
      </c>
    </row>
    <row r="92" spans="1:4" x14ac:dyDescent="0.35">
      <c r="A92" s="2">
        <v>231</v>
      </c>
      <c r="B92" t="s">
        <v>251</v>
      </c>
      <c r="C92" s="8" t="str">
        <f t="shared" si="1"/>
        <v>16.33.43</v>
      </c>
      <c r="D92" s="8" t="s">
        <v>425</v>
      </c>
    </row>
    <row r="93" spans="1:4" x14ac:dyDescent="0.35">
      <c r="A93" s="2">
        <v>232</v>
      </c>
      <c r="B93" t="s">
        <v>252</v>
      </c>
      <c r="C93" s="8" t="str">
        <f t="shared" si="1"/>
        <v>16.34.07</v>
      </c>
      <c r="D93" s="8" t="s">
        <v>426</v>
      </c>
    </row>
    <row r="94" spans="1:4" x14ac:dyDescent="0.35">
      <c r="A94" s="2">
        <v>233</v>
      </c>
      <c r="B94" t="s">
        <v>253</v>
      </c>
      <c r="C94" s="8" t="str">
        <f t="shared" si="1"/>
        <v>16.34.34</v>
      </c>
      <c r="D94" s="8" t="s">
        <v>427</v>
      </c>
    </row>
    <row r="95" spans="1:4" x14ac:dyDescent="0.35">
      <c r="A95" s="2">
        <v>234</v>
      </c>
      <c r="B95" t="s">
        <v>254</v>
      </c>
      <c r="C95" s="8" t="str">
        <f t="shared" si="1"/>
        <v>16.35.02</v>
      </c>
      <c r="D95" s="8" t="s">
        <v>428</v>
      </c>
    </row>
    <row r="96" spans="1:4" x14ac:dyDescent="0.35">
      <c r="A96" s="2">
        <v>235</v>
      </c>
      <c r="B96" t="s">
        <v>255</v>
      </c>
      <c r="C96" s="8" t="s">
        <v>429</v>
      </c>
      <c r="D96" s="8" t="s">
        <v>430</v>
      </c>
    </row>
    <row r="97" spans="1:4" x14ac:dyDescent="0.35">
      <c r="A97" s="2">
        <v>236</v>
      </c>
      <c r="B97" t="s">
        <v>256</v>
      </c>
      <c r="C97" s="8" t="str">
        <f t="shared" si="1"/>
        <v>16.37.16</v>
      </c>
      <c r="D97" s="8" t="s">
        <v>431</v>
      </c>
    </row>
    <row r="98" spans="1:4" x14ac:dyDescent="0.35">
      <c r="A98" s="2">
        <v>237</v>
      </c>
      <c r="B98" t="s">
        <v>257</v>
      </c>
      <c r="C98" s="8" t="str">
        <f t="shared" si="1"/>
        <v>16.38.10</v>
      </c>
      <c r="D98" s="8" t="s">
        <v>432</v>
      </c>
    </row>
    <row r="99" spans="1:4" x14ac:dyDescent="0.35">
      <c r="A99" s="2">
        <v>238</v>
      </c>
      <c r="B99" t="s">
        <v>258</v>
      </c>
      <c r="C99" s="8" t="str">
        <f t="shared" si="1"/>
        <v>16.38.43</v>
      </c>
      <c r="D99" s="8" t="s">
        <v>433</v>
      </c>
    </row>
    <row r="100" spans="1:4" x14ac:dyDescent="0.35">
      <c r="A100" s="2">
        <v>239</v>
      </c>
      <c r="B100" t="s">
        <v>259</v>
      </c>
      <c r="C100" s="8" t="str">
        <f t="shared" si="1"/>
        <v>16.39.15</v>
      </c>
      <c r="D100" s="8" t="s">
        <v>434</v>
      </c>
    </row>
    <row r="101" spans="1:4" x14ac:dyDescent="0.35">
      <c r="A101" s="2">
        <v>240</v>
      </c>
      <c r="B101" t="s">
        <v>260</v>
      </c>
      <c r="C101" s="8" t="str">
        <f t="shared" si="1"/>
        <v>16.39.56</v>
      </c>
      <c r="D101" s="8" t="s">
        <v>435</v>
      </c>
    </row>
    <row r="102" spans="1:4" x14ac:dyDescent="0.35">
      <c r="A102" s="2">
        <v>241</v>
      </c>
      <c r="B102" t="s">
        <v>261</v>
      </c>
      <c r="C102" s="8" t="str">
        <f t="shared" si="1"/>
        <v>16.40.33</v>
      </c>
      <c r="D102" s="8" t="s">
        <v>436</v>
      </c>
    </row>
    <row r="103" spans="1:4" x14ac:dyDescent="0.35">
      <c r="A103" s="2">
        <v>242</v>
      </c>
      <c r="B103" t="s">
        <v>262</v>
      </c>
      <c r="C103" s="8" t="str">
        <f t="shared" si="1"/>
        <v>16.40.59</v>
      </c>
      <c r="D103" s="8" t="s">
        <v>421</v>
      </c>
    </row>
    <row r="104" spans="1:4" x14ac:dyDescent="0.35">
      <c r="A104" s="2">
        <v>243</v>
      </c>
      <c r="B104" t="s">
        <v>263</v>
      </c>
      <c r="C104" s="8" t="s">
        <v>437</v>
      </c>
      <c r="D104" s="8" t="s">
        <v>438</v>
      </c>
    </row>
    <row r="105" spans="1:4" x14ac:dyDescent="0.35">
      <c r="A105" s="2">
        <v>244</v>
      </c>
      <c r="B105" t="s">
        <v>264</v>
      </c>
      <c r="C105" s="8" t="str">
        <f t="shared" si="1"/>
        <v>16.42.49</v>
      </c>
      <c r="D105" s="8" t="s">
        <v>439</v>
      </c>
    </row>
    <row r="106" spans="1:4" x14ac:dyDescent="0.35">
      <c r="A106" s="2">
        <v>245</v>
      </c>
      <c r="B106" t="s">
        <v>265</v>
      </c>
      <c r="C106" s="8" t="str">
        <f t="shared" si="1"/>
        <v>16.43.25</v>
      </c>
      <c r="D106" s="8" t="s">
        <v>440</v>
      </c>
    </row>
    <row r="107" spans="1:4" x14ac:dyDescent="0.35">
      <c r="A107" s="2">
        <v>246</v>
      </c>
      <c r="B107" t="s">
        <v>266</v>
      </c>
      <c r="C107" s="8" t="str">
        <f t="shared" si="1"/>
        <v>16.43.58</v>
      </c>
      <c r="D107" s="8" t="s">
        <v>441</v>
      </c>
    </row>
    <row r="108" spans="1:4" x14ac:dyDescent="0.35">
      <c r="A108" s="2">
        <v>247</v>
      </c>
      <c r="B108" t="s">
        <v>267</v>
      </c>
      <c r="C108" s="8" t="str">
        <f t="shared" si="1"/>
        <v>16.44.32</v>
      </c>
      <c r="D108" s="8" t="s">
        <v>442</v>
      </c>
    </row>
    <row r="109" spans="1:4" x14ac:dyDescent="0.35">
      <c r="A109" s="2">
        <v>248</v>
      </c>
      <c r="B109" t="s">
        <v>268</v>
      </c>
      <c r="C109" s="8" t="str">
        <f t="shared" si="1"/>
        <v>16.45.05</v>
      </c>
      <c r="D109" s="8" t="s">
        <v>443</v>
      </c>
    </row>
    <row r="110" spans="1:4" x14ac:dyDescent="0.35">
      <c r="A110" s="2">
        <v>249</v>
      </c>
      <c r="B110" t="s">
        <v>269</v>
      </c>
      <c r="C110" s="8" t="str">
        <f t="shared" si="1"/>
        <v>16.45.38</v>
      </c>
      <c r="D110" s="8" t="s">
        <v>444</v>
      </c>
    </row>
    <row r="111" spans="1:4" x14ac:dyDescent="0.35">
      <c r="A111" s="2">
        <v>250</v>
      </c>
      <c r="B111" t="s">
        <v>270</v>
      </c>
      <c r="C111" s="8" t="str">
        <f t="shared" si="1"/>
        <v>16.46.17</v>
      </c>
      <c r="D111" s="8" t="s">
        <v>445</v>
      </c>
    </row>
    <row r="112" spans="1:4" x14ac:dyDescent="0.35">
      <c r="A112" s="2">
        <v>251</v>
      </c>
      <c r="B112" t="s">
        <v>271</v>
      </c>
      <c r="C112" s="8" t="str">
        <f t="shared" si="1"/>
        <v>16.46.52</v>
      </c>
      <c r="D112" s="8" t="s">
        <v>446</v>
      </c>
    </row>
    <row r="113" spans="1:4" x14ac:dyDescent="0.35">
      <c r="A113" s="2">
        <v>252</v>
      </c>
      <c r="B113" t="s">
        <v>272</v>
      </c>
      <c r="C113" s="8" t="str">
        <f t="shared" si="1"/>
        <v>16.47.27</v>
      </c>
      <c r="D113" s="8" t="s">
        <v>447</v>
      </c>
    </row>
    <row r="114" spans="1:4" x14ac:dyDescent="0.35">
      <c r="A114" s="2">
        <v>253</v>
      </c>
      <c r="B114" t="s">
        <v>273</v>
      </c>
      <c r="C114" s="8" t="str">
        <f t="shared" si="1"/>
        <v>16.48.03</v>
      </c>
      <c r="D114" s="8" t="s">
        <v>448</v>
      </c>
    </row>
    <row r="115" spans="1:4" x14ac:dyDescent="0.35">
      <c r="A115" s="2">
        <v>254</v>
      </c>
      <c r="B115" t="s">
        <v>274</v>
      </c>
      <c r="C115" s="8" t="str">
        <f t="shared" si="1"/>
        <v>16.48.39</v>
      </c>
      <c r="D115" s="8" t="s">
        <v>449</v>
      </c>
    </row>
    <row r="116" spans="1:4" x14ac:dyDescent="0.35">
      <c r="A116" s="2">
        <v>255</v>
      </c>
      <c r="B116" t="s">
        <v>275</v>
      </c>
      <c r="C116" s="8" t="str">
        <f t="shared" si="1"/>
        <v>16.49.14</v>
      </c>
      <c r="D116" s="8" t="s">
        <v>450</v>
      </c>
    </row>
    <row r="117" spans="1:4" x14ac:dyDescent="0.35">
      <c r="A117" s="2">
        <v>256</v>
      </c>
      <c r="B117" t="s">
        <v>276</v>
      </c>
      <c r="C117" s="8" t="str">
        <f t="shared" si="1"/>
        <v>16.49.53</v>
      </c>
      <c r="D117" s="8" t="s">
        <v>451</v>
      </c>
    </row>
    <row r="118" spans="1:4" x14ac:dyDescent="0.35">
      <c r="A118" s="2">
        <v>257</v>
      </c>
      <c r="B118" t="s">
        <v>277</v>
      </c>
      <c r="C118" s="8" t="str">
        <f t="shared" si="1"/>
        <v>16.50.29</v>
      </c>
      <c r="D118" s="8" t="s">
        <v>452</v>
      </c>
    </row>
    <row r="119" spans="1:4" x14ac:dyDescent="0.35">
      <c r="A119" s="2">
        <v>258</v>
      </c>
      <c r="B119" t="s">
        <v>278</v>
      </c>
      <c r="C119" s="8" t="s">
        <v>453</v>
      </c>
      <c r="D119" s="8" t="s">
        <v>454</v>
      </c>
    </row>
    <row r="120" spans="1:4" x14ac:dyDescent="0.35">
      <c r="A120" s="2">
        <v>259</v>
      </c>
      <c r="B120" t="s">
        <v>279</v>
      </c>
      <c r="C120" s="8" t="str">
        <f t="shared" si="1"/>
        <v>16.53.25</v>
      </c>
      <c r="D120" s="8" t="s">
        <v>455</v>
      </c>
    </row>
    <row r="121" spans="1:4" x14ac:dyDescent="0.35">
      <c r="A121" s="2">
        <v>260</v>
      </c>
      <c r="B121" t="s">
        <v>280</v>
      </c>
      <c r="C121" s="8" t="str">
        <f t="shared" si="1"/>
        <v>16.53.55</v>
      </c>
      <c r="D121" s="8" t="s">
        <v>456</v>
      </c>
    </row>
    <row r="122" spans="1:4" x14ac:dyDescent="0.35">
      <c r="A122" s="2">
        <v>261</v>
      </c>
      <c r="B122" t="s">
        <v>281</v>
      </c>
      <c r="C122" s="8" t="str">
        <f t="shared" si="1"/>
        <v>16.54.27</v>
      </c>
      <c r="D122" s="8" t="s">
        <v>457</v>
      </c>
    </row>
    <row r="123" spans="1:4" x14ac:dyDescent="0.35">
      <c r="A123" s="2">
        <v>262</v>
      </c>
      <c r="B123" t="s">
        <v>282</v>
      </c>
      <c r="C123" s="8" t="str">
        <f t="shared" si="1"/>
        <v>16.55.01</v>
      </c>
      <c r="D123" s="8" t="s">
        <v>458</v>
      </c>
    </row>
    <row r="124" spans="1:4" x14ac:dyDescent="0.35">
      <c r="A124" s="2">
        <v>263</v>
      </c>
      <c r="B124" t="s">
        <v>283</v>
      </c>
      <c r="C124" s="8" t="str">
        <f t="shared" si="1"/>
        <v>16.55.35</v>
      </c>
      <c r="D124" s="8" t="s">
        <v>459</v>
      </c>
    </row>
    <row r="125" spans="1:4" x14ac:dyDescent="0.35">
      <c r="A125" s="2">
        <v>264</v>
      </c>
      <c r="B125" t="s">
        <v>284</v>
      </c>
      <c r="C125" s="8" t="str">
        <f t="shared" si="1"/>
        <v>16.56.08</v>
      </c>
      <c r="D125" s="8" t="s">
        <v>460</v>
      </c>
    </row>
    <row r="126" spans="1:4" x14ac:dyDescent="0.35">
      <c r="A126" s="2">
        <v>265</v>
      </c>
      <c r="B126" t="s">
        <v>285</v>
      </c>
      <c r="C126" s="8" t="str">
        <f t="shared" si="1"/>
        <v>16.56.43</v>
      </c>
      <c r="D126" s="8" t="s">
        <v>461</v>
      </c>
    </row>
    <row r="127" spans="1:4" x14ac:dyDescent="0.35">
      <c r="A127" s="2">
        <v>266</v>
      </c>
      <c r="B127" t="s">
        <v>286</v>
      </c>
      <c r="C127" s="8" t="str">
        <f t="shared" si="1"/>
        <v>16.57.37</v>
      </c>
      <c r="D127" s="8" t="s">
        <v>462</v>
      </c>
    </row>
    <row r="128" spans="1:4" x14ac:dyDescent="0.35">
      <c r="A128" s="2">
        <v>267</v>
      </c>
      <c r="B128" t="s">
        <v>287</v>
      </c>
      <c r="C128" s="8" t="str">
        <f t="shared" si="1"/>
        <v>16.58.10</v>
      </c>
      <c r="D128" s="8" t="s">
        <v>463</v>
      </c>
    </row>
    <row r="129" spans="1:4" x14ac:dyDescent="0.35">
      <c r="A129" s="2">
        <v>268</v>
      </c>
      <c r="B129" t="s">
        <v>288</v>
      </c>
      <c r="C129" s="8" t="str">
        <f t="shared" si="1"/>
        <v>16.58.47</v>
      </c>
      <c r="D129" s="8" t="s">
        <v>464</v>
      </c>
    </row>
    <row r="130" spans="1:4" x14ac:dyDescent="0.35">
      <c r="A130" s="2">
        <v>269</v>
      </c>
      <c r="B130" t="s">
        <v>289</v>
      </c>
      <c r="C130" s="8" t="str">
        <f t="shared" si="1"/>
        <v>16.59.23</v>
      </c>
      <c r="D130" s="8" t="s">
        <v>465</v>
      </c>
    </row>
    <row r="131" spans="1:4" x14ac:dyDescent="0.35">
      <c r="A131" s="2">
        <v>270</v>
      </c>
      <c r="B131" t="s">
        <v>290</v>
      </c>
      <c r="C131" s="8" t="str">
        <f t="shared" si="1"/>
        <v>16.59.59</v>
      </c>
      <c r="D131" s="8" t="s">
        <v>466</v>
      </c>
    </row>
    <row r="132" spans="1:4" x14ac:dyDescent="0.35">
      <c r="A132" s="2">
        <v>271</v>
      </c>
      <c r="B132" t="s">
        <v>291</v>
      </c>
      <c r="C132" s="8" t="str">
        <f t="shared" ref="C132:C136" si="2">D131</f>
        <v>17.00.46</v>
      </c>
      <c r="D132" s="8" t="s">
        <v>467</v>
      </c>
    </row>
    <row r="133" spans="1:4" x14ac:dyDescent="0.35">
      <c r="A133" s="2">
        <v>272</v>
      </c>
      <c r="B133" t="s">
        <v>292</v>
      </c>
      <c r="C133" s="8" t="str">
        <f t="shared" si="2"/>
        <v>17.01.24</v>
      </c>
      <c r="D133" s="8" t="s">
        <v>468</v>
      </c>
    </row>
    <row r="134" spans="1:4" x14ac:dyDescent="0.35">
      <c r="A134" s="2">
        <v>273</v>
      </c>
      <c r="B134" t="s">
        <v>293</v>
      </c>
      <c r="C134" s="8" t="str">
        <f t="shared" si="2"/>
        <v>17.02.01</v>
      </c>
      <c r="D134" s="8" t="s">
        <v>469</v>
      </c>
    </row>
    <row r="135" spans="1:4" x14ac:dyDescent="0.35">
      <c r="A135" s="2">
        <v>275</v>
      </c>
      <c r="B135" t="s">
        <v>295</v>
      </c>
      <c r="C135" s="9" t="s">
        <v>470</v>
      </c>
      <c r="D135" s="9" t="s">
        <v>471</v>
      </c>
    </row>
    <row r="136" spans="1:4" x14ac:dyDescent="0.35">
      <c r="A136" s="2">
        <v>276</v>
      </c>
      <c r="B136" t="s">
        <v>296</v>
      </c>
      <c r="C136" s="8" t="str">
        <f t="shared" si="2"/>
        <v>17.04.55</v>
      </c>
      <c r="D136" s="9" t="s">
        <v>472</v>
      </c>
    </row>
    <row r="137" spans="1:4" x14ac:dyDescent="0.35">
      <c r="A137" s="2">
        <v>278</v>
      </c>
      <c r="B137" t="s">
        <v>298</v>
      </c>
      <c r="C137" s="9" t="s">
        <v>472</v>
      </c>
      <c r="D137" s="9" t="s">
        <v>473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0C0F-01CF-49CA-A1C2-84FD72A5BE2D}">
  <dimension ref="A1:L143"/>
  <sheetViews>
    <sheetView topLeftCell="A113" zoomScale="175" zoomScaleNormal="175" workbookViewId="0">
      <selection activeCell="A113" sqref="A1:XFD1048576"/>
    </sheetView>
  </sheetViews>
  <sheetFormatPr defaultRowHeight="14.5" x14ac:dyDescent="0.35"/>
  <cols>
    <col min="2" max="2" width="14.54296875" customWidth="1"/>
    <col min="4" max="4" width="10.54296875" bestFit="1" customWidth="1"/>
    <col min="5" max="5" width="10.6328125" customWidth="1"/>
    <col min="7" max="7" width="7.54296875" customWidth="1"/>
  </cols>
  <sheetData>
    <row r="1" spans="1:12" x14ac:dyDescent="0.35">
      <c r="A1" s="1" t="s">
        <v>0</v>
      </c>
      <c r="B1" s="1" t="s">
        <v>10</v>
      </c>
      <c r="C1" s="1" t="s">
        <v>2</v>
      </c>
      <c r="D1" s="1" t="s">
        <v>5</v>
      </c>
      <c r="E1" s="2" t="s">
        <v>474</v>
      </c>
      <c r="F1" s="2" t="s">
        <v>475</v>
      </c>
      <c r="G1" s="2" t="s">
        <v>476</v>
      </c>
    </row>
    <row r="2" spans="1:12" x14ac:dyDescent="0.35">
      <c r="A2" s="2">
        <v>137</v>
      </c>
      <c r="B2" t="s">
        <v>155</v>
      </c>
      <c r="C2" s="13">
        <v>0.61001157407407403</v>
      </c>
      <c r="D2" s="13">
        <v>0.61033564814814811</v>
      </c>
      <c r="E2">
        <f>Table1345[[#This Row],[START]]*86400</f>
        <v>52704.999999999993</v>
      </c>
      <c r="F2">
        <f>Table1345[[#This Row],[END]]*86400</f>
        <v>52733</v>
      </c>
      <c r="G2">
        <f>Table1345[[#This Row],[Column2]]-Table1345[[#This Row],[Column1]]</f>
        <v>28.000000000007276</v>
      </c>
      <c r="J2">
        <f>F142-Table1345[[#This Row],[Column1]]-300</f>
        <v>8560</v>
      </c>
      <c r="K2">
        <f>J2/60</f>
        <v>142.66666666666666</v>
      </c>
    </row>
    <row r="3" spans="1:12" x14ac:dyDescent="0.35">
      <c r="A3" s="2">
        <v>138</v>
      </c>
      <c r="B3" t="s">
        <v>156</v>
      </c>
      <c r="C3" s="13">
        <v>0.61033564814814811</v>
      </c>
      <c r="D3" s="13">
        <v>0.61063657407407412</v>
      </c>
      <c r="E3">
        <f>Table1345[[#This Row],[START]]*86400</f>
        <v>52733</v>
      </c>
      <c r="F3">
        <f>Table1345[[#This Row],[END]]*86400</f>
        <v>52759.000000000007</v>
      </c>
      <c r="G3">
        <f>Table1345[[#This Row],[Column2]]-Table1345[[#This Row],[Column1]]</f>
        <v>26.000000000007276</v>
      </c>
      <c r="J3">
        <f>Table1345[[#Totals],[total_time]]</f>
        <v>5353.9999999999782</v>
      </c>
      <c r="K3">
        <f>J3/60</f>
        <v>89.233333333332965</v>
      </c>
    </row>
    <row r="4" spans="1:12" x14ac:dyDescent="0.35">
      <c r="A4" s="2">
        <v>139</v>
      </c>
      <c r="B4" t="s">
        <v>157</v>
      </c>
      <c r="C4" s="13">
        <v>0.61063657407407412</v>
      </c>
      <c r="D4" s="13">
        <v>0.61098379629629629</v>
      </c>
      <c r="E4">
        <f>Table1345[[#This Row],[START]]*86400</f>
        <v>52759.000000000007</v>
      </c>
      <c r="F4">
        <f>Table1345[[#This Row],[END]]*86400</f>
        <v>52789</v>
      </c>
      <c r="G4">
        <f>Table1345[[#This Row],[Column2]]-Table1345[[#This Row],[Column1]]</f>
        <v>29.999999999992724</v>
      </c>
    </row>
    <row r="5" spans="1:12" x14ac:dyDescent="0.35">
      <c r="A5" s="2">
        <v>140</v>
      </c>
      <c r="B5" t="s">
        <v>158</v>
      </c>
      <c r="C5" s="13">
        <v>0.61098379629629629</v>
      </c>
      <c r="D5" s="13">
        <v>0.61126157407407411</v>
      </c>
      <c r="E5">
        <f>Table1345[[#This Row],[START]]*86400</f>
        <v>52789</v>
      </c>
      <c r="F5">
        <f>Table1345[[#This Row],[END]]*86400</f>
        <v>52813</v>
      </c>
      <c r="G5">
        <f>Table1345[[#This Row],[Column2]]-Table1345[[#This Row],[Column1]]</f>
        <v>24</v>
      </c>
      <c r="J5">
        <f>J2/136</f>
        <v>62.941176470588232</v>
      </c>
    </row>
    <row r="6" spans="1:12" x14ac:dyDescent="0.35">
      <c r="A6" s="2">
        <v>141</v>
      </c>
      <c r="B6" t="s">
        <v>159</v>
      </c>
      <c r="C6" s="13">
        <v>0.61126157407407411</v>
      </c>
      <c r="D6" s="13">
        <v>0.61181712962962964</v>
      </c>
      <c r="E6">
        <f>Table1345[[#This Row],[START]]*86400</f>
        <v>52813</v>
      </c>
      <c r="F6">
        <f>Table1345[[#This Row],[END]]*86400</f>
        <v>52861</v>
      </c>
      <c r="G6">
        <f>Table1345[[#This Row],[Column2]]-Table1345[[#This Row],[Column1]]</f>
        <v>48</v>
      </c>
      <c r="H6" t="s">
        <v>519</v>
      </c>
      <c r="J6">
        <f>J3/136</f>
        <v>39.367647058823366</v>
      </c>
    </row>
    <row r="7" spans="1:12" x14ac:dyDescent="0.35">
      <c r="A7" s="2">
        <v>142</v>
      </c>
      <c r="B7" t="s">
        <v>160</v>
      </c>
      <c r="C7" s="13">
        <v>0.61181712962962964</v>
      </c>
      <c r="D7" s="13">
        <v>0.61209490740740746</v>
      </c>
      <c r="E7">
        <f>Table1345[[#This Row],[START]]*86400</f>
        <v>52861</v>
      </c>
      <c r="F7">
        <f>Table1345[[#This Row],[END]]*86400</f>
        <v>52885.000000000007</v>
      </c>
      <c r="G7">
        <f>Table1345[[#This Row],[Column2]]-Table1345[[#This Row],[Column1]]</f>
        <v>24.000000000007276</v>
      </c>
      <c r="L7">
        <f>J5/J6</f>
        <v>1.5988046320508098</v>
      </c>
    </row>
    <row r="8" spans="1:12" x14ac:dyDescent="0.35">
      <c r="A8" s="2">
        <v>143</v>
      </c>
      <c r="B8" t="s">
        <v>161</v>
      </c>
      <c r="C8" s="13">
        <v>0.61209490740740746</v>
      </c>
      <c r="D8" s="13">
        <v>0.61234953703703698</v>
      </c>
      <c r="E8">
        <f>Table1345[[#This Row],[START]]*86400</f>
        <v>52885.000000000007</v>
      </c>
      <c r="F8">
        <f>Table1345[[#This Row],[END]]*86400</f>
        <v>52906.999999999993</v>
      </c>
      <c r="G8">
        <f>Table1345[[#This Row],[Column2]]-Table1345[[#This Row],[Column1]]</f>
        <v>21.999999999985448</v>
      </c>
    </row>
    <row r="9" spans="1:12" x14ac:dyDescent="0.35">
      <c r="A9" s="2">
        <v>144</v>
      </c>
      <c r="B9" t="s">
        <v>162</v>
      </c>
      <c r="C9" s="13">
        <v>0.61234953703703698</v>
      </c>
      <c r="D9" s="13">
        <v>0.61265046296296299</v>
      </c>
      <c r="E9">
        <f>Table1345[[#This Row],[START]]*86400</f>
        <v>52906.999999999993</v>
      </c>
      <c r="F9">
        <f>Table1345[[#This Row],[END]]*86400</f>
        <v>52933</v>
      </c>
      <c r="G9">
        <f>Table1345[[#This Row],[Column2]]-Table1345[[#This Row],[Column1]]</f>
        <v>26.000000000007276</v>
      </c>
    </row>
    <row r="10" spans="1:12" x14ac:dyDescent="0.35">
      <c r="A10" s="2">
        <v>145</v>
      </c>
      <c r="B10" t="s">
        <v>163</v>
      </c>
      <c r="C10" s="13">
        <v>0.61265046296296299</v>
      </c>
      <c r="D10" s="13">
        <v>0.6129282407407407</v>
      </c>
      <c r="E10">
        <f>Table1345[[#This Row],[START]]*86400</f>
        <v>52933</v>
      </c>
      <c r="F10">
        <f>Table1345[[#This Row],[END]]*86400</f>
        <v>52957</v>
      </c>
      <c r="G10">
        <f>Table1345[[#This Row],[Column2]]-Table1345[[#This Row],[Column1]]</f>
        <v>24</v>
      </c>
    </row>
    <row r="11" spans="1:12" x14ac:dyDescent="0.35">
      <c r="A11" s="2">
        <v>146</v>
      </c>
      <c r="B11" t="s">
        <v>164</v>
      </c>
      <c r="C11" s="13">
        <v>0.6129282407407407</v>
      </c>
      <c r="D11" s="13">
        <v>0.61320601851851853</v>
      </c>
      <c r="E11">
        <f>Table1345[[#This Row],[START]]*86400</f>
        <v>52957</v>
      </c>
      <c r="F11">
        <f>Table1345[[#This Row],[END]]*86400</f>
        <v>52981</v>
      </c>
      <c r="G11">
        <f>Table1345[[#This Row],[Column2]]-Table1345[[#This Row],[Column1]]</f>
        <v>24</v>
      </c>
    </row>
    <row r="12" spans="1:12" x14ac:dyDescent="0.35">
      <c r="A12" s="2">
        <v>147</v>
      </c>
      <c r="B12" t="s">
        <v>165</v>
      </c>
      <c r="C12" s="13">
        <v>0.61376157407407406</v>
      </c>
      <c r="D12" s="13">
        <v>0.61412037037037037</v>
      </c>
      <c r="E12">
        <f>Table1345[[#This Row],[START]]*86400</f>
        <v>53029</v>
      </c>
      <c r="F12">
        <f>Table1345[[#This Row],[END]]*86400</f>
        <v>53060</v>
      </c>
      <c r="G12">
        <f>Table1345[[#This Row],[Column2]]-Table1345[[#This Row],[Column1]]</f>
        <v>31</v>
      </c>
    </row>
    <row r="13" spans="1:12" x14ac:dyDescent="0.35">
      <c r="A13" s="2">
        <v>148</v>
      </c>
      <c r="B13" t="s">
        <v>166</v>
      </c>
      <c r="C13" s="13">
        <v>0.61412037037037037</v>
      </c>
      <c r="D13" s="13">
        <v>0.61449074074074073</v>
      </c>
      <c r="E13">
        <f>Table1345[[#This Row],[START]]*86400</f>
        <v>53060</v>
      </c>
      <c r="F13">
        <f>Table1345[[#This Row],[END]]*86400</f>
        <v>53092</v>
      </c>
      <c r="G13">
        <f>Table1345[[#This Row],[Column2]]-Table1345[[#This Row],[Column1]]</f>
        <v>32</v>
      </c>
    </row>
    <row r="14" spans="1:12" x14ac:dyDescent="0.35">
      <c r="A14" s="2">
        <v>149</v>
      </c>
      <c r="B14" t="s">
        <v>167</v>
      </c>
      <c r="C14" s="13">
        <v>0.61449074074074073</v>
      </c>
      <c r="D14" s="13">
        <v>0.61484953703703704</v>
      </c>
      <c r="E14">
        <f>Table1345[[#This Row],[START]]*86400</f>
        <v>53092</v>
      </c>
      <c r="F14">
        <f>Table1345[[#This Row],[END]]*86400</f>
        <v>53123</v>
      </c>
      <c r="G14">
        <f>Table1345[[#This Row],[Column2]]-Table1345[[#This Row],[Column1]]</f>
        <v>31</v>
      </c>
    </row>
    <row r="15" spans="1:12" x14ac:dyDescent="0.35">
      <c r="A15" s="2">
        <v>150</v>
      </c>
      <c r="B15" t="s">
        <v>168</v>
      </c>
      <c r="C15" s="13">
        <v>0.61484953703703704</v>
      </c>
      <c r="D15" s="13">
        <v>0.61518518518518517</v>
      </c>
      <c r="E15">
        <f>Table1345[[#This Row],[START]]*86400</f>
        <v>53123</v>
      </c>
      <c r="F15">
        <f>Table1345[[#This Row],[END]]*86400</f>
        <v>53152</v>
      </c>
      <c r="G15">
        <f>Table1345[[#This Row],[Column2]]-Table1345[[#This Row],[Column1]]</f>
        <v>29</v>
      </c>
    </row>
    <row r="16" spans="1:12" x14ac:dyDescent="0.35">
      <c r="A16" s="2">
        <v>151</v>
      </c>
      <c r="B16" t="s">
        <v>169</v>
      </c>
      <c r="C16" s="13">
        <v>0.61518518518518517</v>
      </c>
      <c r="D16" s="13">
        <v>0.61556712962962967</v>
      </c>
      <c r="E16">
        <f>Table1345[[#This Row],[START]]*86400</f>
        <v>53152</v>
      </c>
      <c r="F16">
        <f>Table1345[[#This Row],[END]]*86400</f>
        <v>53185.000000000007</v>
      </c>
      <c r="G16">
        <f>Table1345[[#This Row],[Column2]]-Table1345[[#This Row],[Column1]]</f>
        <v>33.000000000007276</v>
      </c>
    </row>
    <row r="17" spans="1:8" x14ac:dyDescent="0.35">
      <c r="A17" s="2">
        <v>152</v>
      </c>
      <c r="B17" t="s">
        <v>170</v>
      </c>
      <c r="C17" s="13">
        <v>0.61556712962962967</v>
      </c>
      <c r="D17" s="13">
        <v>0.61593750000000003</v>
      </c>
      <c r="E17">
        <f>Table1345[[#This Row],[START]]*86400</f>
        <v>53185.000000000007</v>
      </c>
      <c r="F17">
        <f>Table1345[[#This Row],[END]]*86400</f>
        <v>53217</v>
      </c>
      <c r="G17">
        <f>Table1345[[#This Row],[Column2]]-Table1345[[#This Row],[Column1]]</f>
        <v>31.999999999992724</v>
      </c>
    </row>
    <row r="18" spans="1:8" x14ac:dyDescent="0.35">
      <c r="A18" s="2">
        <v>153</v>
      </c>
      <c r="B18" t="s">
        <v>171</v>
      </c>
      <c r="C18" s="13">
        <v>0.61593750000000003</v>
      </c>
      <c r="D18" s="13">
        <v>0.61634259259259261</v>
      </c>
      <c r="E18">
        <f>Table1345[[#This Row],[START]]*86400</f>
        <v>53217</v>
      </c>
      <c r="F18">
        <f>Table1345[[#This Row],[END]]*86400</f>
        <v>53252</v>
      </c>
      <c r="G18">
        <f>Table1345[[#This Row],[Column2]]-Table1345[[#This Row],[Column1]]</f>
        <v>35</v>
      </c>
    </row>
    <row r="19" spans="1:8" x14ac:dyDescent="0.35">
      <c r="A19" s="2">
        <v>154</v>
      </c>
      <c r="B19" t="s">
        <v>172</v>
      </c>
      <c r="C19" s="13">
        <v>0.61634259259259261</v>
      </c>
      <c r="D19" s="13">
        <v>0.61677083333333338</v>
      </c>
      <c r="E19">
        <f>Table1345[[#This Row],[START]]*86400</f>
        <v>53252</v>
      </c>
      <c r="F19">
        <f>Table1345[[#This Row],[END]]*86400</f>
        <v>53289.000000000007</v>
      </c>
      <c r="G19">
        <f>Table1345[[#This Row],[Column2]]-Table1345[[#This Row],[Column1]]</f>
        <v>37.000000000007276</v>
      </c>
    </row>
    <row r="20" spans="1:8" x14ac:dyDescent="0.35">
      <c r="A20" s="2">
        <v>155</v>
      </c>
      <c r="B20" t="s">
        <v>173</v>
      </c>
      <c r="C20" s="13">
        <v>0.61677083333333338</v>
      </c>
      <c r="D20" s="13">
        <v>0.61719907407407404</v>
      </c>
      <c r="E20">
        <f>Table1345[[#This Row],[START]]*86400</f>
        <v>53289.000000000007</v>
      </c>
      <c r="F20">
        <f>Table1345[[#This Row],[END]]*86400</f>
        <v>53326</v>
      </c>
      <c r="G20">
        <f>Table1345[[#This Row],[Column2]]-Table1345[[#This Row],[Column1]]</f>
        <v>36.999999999992724</v>
      </c>
    </row>
    <row r="21" spans="1:8" x14ac:dyDescent="0.35">
      <c r="A21" s="2">
        <v>156</v>
      </c>
      <c r="B21" t="s">
        <v>174</v>
      </c>
      <c r="C21" s="13">
        <v>0.61719907407407404</v>
      </c>
      <c r="D21" s="13">
        <v>0.61752314814814813</v>
      </c>
      <c r="E21">
        <f>Table1345[[#This Row],[START]]*86400</f>
        <v>53326</v>
      </c>
      <c r="F21">
        <f>Table1345[[#This Row],[END]]*86400</f>
        <v>53354</v>
      </c>
      <c r="G21">
        <f>Table1345[[#This Row],[Column2]]-Table1345[[#This Row],[Column1]]</f>
        <v>28</v>
      </c>
    </row>
    <row r="22" spans="1:8" x14ac:dyDescent="0.35">
      <c r="A22" s="2">
        <v>157</v>
      </c>
      <c r="B22" t="s">
        <v>175</v>
      </c>
      <c r="C22" s="13">
        <v>0.61752314814814813</v>
      </c>
      <c r="D22" s="13">
        <v>0.61848379629629635</v>
      </c>
      <c r="E22">
        <f>Table1345[[#This Row],[START]]*86400</f>
        <v>53354</v>
      </c>
      <c r="F22">
        <f>Table1345[[#This Row],[END]]*86400</f>
        <v>53437.000000000007</v>
      </c>
      <c r="G22">
        <f>Table1345[[#This Row],[Column2]]-Table1345[[#This Row],[Column1]]</f>
        <v>83.000000000007276</v>
      </c>
      <c r="H22" t="s">
        <v>484</v>
      </c>
    </row>
    <row r="23" spans="1:8" x14ac:dyDescent="0.35">
      <c r="A23" s="2">
        <v>158</v>
      </c>
      <c r="B23" t="s">
        <v>176</v>
      </c>
      <c r="C23" s="13">
        <v>0.61848379629629635</v>
      </c>
      <c r="D23" s="13">
        <v>0.61886574074074074</v>
      </c>
      <c r="E23">
        <f>Table1345[[#This Row],[START]]*86400</f>
        <v>53437.000000000007</v>
      </c>
      <c r="F23">
        <f>Table1345[[#This Row],[END]]*86400</f>
        <v>53470</v>
      </c>
      <c r="G23">
        <f>Table1345[[#This Row],[Column2]]-Table1345[[#This Row],[Column1]]</f>
        <v>32.999999999992724</v>
      </c>
    </row>
    <row r="24" spans="1:8" x14ac:dyDescent="0.35">
      <c r="A24" s="2">
        <v>159</v>
      </c>
      <c r="B24" t="s">
        <v>177</v>
      </c>
      <c r="C24" s="13">
        <v>0.61886574074074074</v>
      </c>
      <c r="D24" s="13">
        <v>0.61924768518518514</v>
      </c>
      <c r="E24">
        <f>Table1345[[#This Row],[START]]*86400</f>
        <v>53470</v>
      </c>
      <c r="F24">
        <f>Table1345[[#This Row],[END]]*86400</f>
        <v>53502.999999999993</v>
      </c>
      <c r="G24">
        <f>Table1345[[#This Row],[Column2]]-Table1345[[#This Row],[Column1]]</f>
        <v>32.999999999992724</v>
      </c>
    </row>
    <row r="25" spans="1:8" x14ac:dyDescent="0.35">
      <c r="A25" s="2">
        <v>160</v>
      </c>
      <c r="B25" t="s">
        <v>178</v>
      </c>
      <c r="C25" s="13">
        <v>0.61924768518518514</v>
      </c>
      <c r="D25" s="13">
        <v>0.61966435185185187</v>
      </c>
      <c r="E25">
        <f>Table1345[[#This Row],[START]]*86400</f>
        <v>53502.999999999993</v>
      </c>
      <c r="F25">
        <f>Table1345[[#This Row],[END]]*86400</f>
        <v>53539</v>
      </c>
      <c r="G25">
        <f>Table1345[[#This Row],[Column2]]-Table1345[[#This Row],[Column1]]</f>
        <v>36.000000000007276</v>
      </c>
    </row>
    <row r="26" spans="1:8" x14ac:dyDescent="0.35">
      <c r="A26" s="2">
        <v>161</v>
      </c>
      <c r="B26" t="s">
        <v>179</v>
      </c>
      <c r="C26" s="13">
        <v>0.61966435185185187</v>
      </c>
      <c r="D26" s="13">
        <v>0.62026620370370367</v>
      </c>
      <c r="E26">
        <f>Table1345[[#This Row],[START]]*86400</f>
        <v>53539</v>
      </c>
      <c r="F26">
        <f>Table1345[[#This Row],[END]]*86400</f>
        <v>53591</v>
      </c>
      <c r="G26">
        <f>Table1345[[#This Row],[Column2]]-Table1345[[#This Row],[Column1]]</f>
        <v>52</v>
      </c>
      <c r="H26" t="s">
        <v>519</v>
      </c>
    </row>
    <row r="27" spans="1:8" x14ac:dyDescent="0.35">
      <c r="A27" s="2">
        <v>162</v>
      </c>
      <c r="B27" t="s">
        <v>180</v>
      </c>
      <c r="C27" s="13">
        <v>0.62258101851851855</v>
      </c>
      <c r="D27" s="13">
        <v>0.62291666666666667</v>
      </c>
      <c r="E27">
        <f>Table1345[[#This Row],[START]]*86400</f>
        <v>53791</v>
      </c>
      <c r="F27">
        <f>Table1345[[#This Row],[END]]*86400</f>
        <v>53820</v>
      </c>
      <c r="G27">
        <f>Table1345[[#This Row],[Column2]]-Table1345[[#This Row],[Column1]]</f>
        <v>29</v>
      </c>
    </row>
    <row r="28" spans="1:8" x14ac:dyDescent="0.35">
      <c r="A28" s="2">
        <v>163</v>
      </c>
      <c r="B28" t="s">
        <v>181</v>
      </c>
      <c r="C28" s="13">
        <v>0.62291666666666667</v>
      </c>
      <c r="D28" s="13">
        <v>0.62322916666666661</v>
      </c>
      <c r="E28">
        <f>Table1345[[#This Row],[START]]*86400</f>
        <v>53820</v>
      </c>
      <c r="F28">
        <f>Table1345[[#This Row],[END]]*86400</f>
        <v>53846.999999999993</v>
      </c>
      <c r="G28">
        <f>Table1345[[#This Row],[Column2]]-Table1345[[#This Row],[Column1]]</f>
        <v>26.999999999992724</v>
      </c>
    </row>
    <row r="29" spans="1:8" x14ac:dyDescent="0.35">
      <c r="A29" s="2">
        <v>164</v>
      </c>
      <c r="B29" t="s">
        <v>182</v>
      </c>
      <c r="C29" s="13">
        <v>0.62322916666666661</v>
      </c>
      <c r="D29" s="13">
        <v>0.62362268518518515</v>
      </c>
      <c r="E29">
        <f>Table1345[[#This Row],[START]]*86400</f>
        <v>53846.999999999993</v>
      </c>
      <c r="F29">
        <f>Table1345[[#This Row],[END]]*86400</f>
        <v>53881</v>
      </c>
      <c r="G29">
        <f>Table1345[[#This Row],[Column2]]-Table1345[[#This Row],[Column1]]</f>
        <v>34.000000000007276</v>
      </c>
    </row>
    <row r="30" spans="1:8" x14ac:dyDescent="0.35">
      <c r="A30" s="2">
        <v>165</v>
      </c>
      <c r="B30" t="s">
        <v>183</v>
      </c>
      <c r="C30" s="13">
        <v>0.62362268518518515</v>
      </c>
      <c r="D30" s="13">
        <v>0.62429398148148152</v>
      </c>
      <c r="E30">
        <f>Table1345[[#This Row],[START]]*86400</f>
        <v>53881</v>
      </c>
      <c r="F30">
        <f>Table1345[[#This Row],[END]]*86400</f>
        <v>53939</v>
      </c>
      <c r="G30">
        <f>Table1345[[#This Row],[Column2]]-Table1345[[#This Row],[Column1]]</f>
        <v>58</v>
      </c>
      <c r="H30" t="s">
        <v>628</v>
      </c>
    </row>
    <row r="31" spans="1:8" x14ac:dyDescent="0.35">
      <c r="A31" s="2">
        <v>166</v>
      </c>
      <c r="B31" t="s">
        <v>184</v>
      </c>
      <c r="C31" s="13">
        <v>0.62429398148148152</v>
      </c>
      <c r="D31" s="13">
        <v>0.62465277777777772</v>
      </c>
      <c r="E31">
        <f>Table1345[[#This Row],[START]]*86400</f>
        <v>53939</v>
      </c>
      <c r="F31">
        <f>Table1345[[#This Row],[END]]*86400</f>
        <v>53969.999999999993</v>
      </c>
      <c r="G31">
        <f>Table1345[[#This Row],[Column2]]-Table1345[[#This Row],[Column1]]</f>
        <v>30.999999999992724</v>
      </c>
    </row>
    <row r="32" spans="1:8" x14ac:dyDescent="0.35">
      <c r="A32" s="2">
        <v>167</v>
      </c>
      <c r="B32" t="s">
        <v>185</v>
      </c>
      <c r="C32" s="13">
        <v>0.62465277777777772</v>
      </c>
      <c r="D32" s="13">
        <v>0.62501157407407404</v>
      </c>
      <c r="E32">
        <f>Table1345[[#This Row],[START]]*86400</f>
        <v>53969.999999999993</v>
      </c>
      <c r="F32">
        <f>Table1345[[#This Row],[END]]*86400</f>
        <v>54001</v>
      </c>
      <c r="G32">
        <f>Table1345[[#This Row],[Column2]]-Table1345[[#This Row],[Column1]]</f>
        <v>31.000000000007276</v>
      </c>
    </row>
    <row r="33" spans="1:8" x14ac:dyDescent="0.35">
      <c r="A33" s="2">
        <v>168</v>
      </c>
      <c r="B33" s="2"/>
      <c r="C33" s="18">
        <v>0.62501157407407404</v>
      </c>
      <c r="D33" s="18">
        <v>0.62540509259259258</v>
      </c>
      <c r="E33" s="17">
        <f>Table1345[[#This Row],[START]]*86400</f>
        <v>54001</v>
      </c>
      <c r="F33" s="17">
        <f>Table1345[[#This Row],[END]]*86400</f>
        <v>54035</v>
      </c>
      <c r="G33" s="17">
        <f>Table1345[[#This Row],[Column2]]-Table1345[[#This Row],[Column1]]</f>
        <v>34</v>
      </c>
    </row>
    <row r="34" spans="1:8" x14ac:dyDescent="0.35">
      <c r="A34" s="2">
        <v>169</v>
      </c>
      <c r="B34" t="s">
        <v>186</v>
      </c>
      <c r="C34" s="13">
        <v>0.62540509259259258</v>
      </c>
      <c r="D34" s="13">
        <v>0.62575231481481486</v>
      </c>
      <c r="E34">
        <f>Table1345[[#This Row],[START]]*86400</f>
        <v>54035</v>
      </c>
      <c r="F34">
        <f>Table1345[[#This Row],[END]]*86400</f>
        <v>54065.000000000007</v>
      </c>
      <c r="G34">
        <f>Table1345[[#This Row],[Column2]]-Table1345[[#This Row],[Column1]]</f>
        <v>30.000000000007276</v>
      </c>
    </row>
    <row r="35" spans="1:8" x14ac:dyDescent="0.35">
      <c r="A35" s="2">
        <v>170</v>
      </c>
      <c r="B35" t="s">
        <v>187</v>
      </c>
      <c r="C35" s="13">
        <v>0.62575231481481486</v>
      </c>
      <c r="D35" s="13">
        <v>0.62609953703703702</v>
      </c>
      <c r="E35">
        <f>Table1345[[#This Row],[START]]*86400</f>
        <v>54065.000000000007</v>
      </c>
      <c r="F35">
        <f>Table1345[[#This Row],[END]]*86400</f>
        <v>54095</v>
      </c>
      <c r="G35">
        <f>Table1345[[#This Row],[Column2]]-Table1345[[#This Row],[Column1]]</f>
        <v>29.999999999992724</v>
      </c>
    </row>
    <row r="36" spans="1:8" x14ac:dyDescent="0.35">
      <c r="A36" s="2">
        <v>171</v>
      </c>
      <c r="B36" t="s">
        <v>188</v>
      </c>
      <c r="C36" s="13">
        <v>0.62609953703703702</v>
      </c>
      <c r="D36" s="13">
        <v>0.62648148148148153</v>
      </c>
      <c r="E36">
        <f>Table1345[[#This Row],[START]]*86400</f>
        <v>54095</v>
      </c>
      <c r="F36">
        <f>Table1345[[#This Row],[END]]*86400</f>
        <v>54128.000000000007</v>
      </c>
      <c r="G36">
        <f>Table1345[[#This Row],[Column2]]-Table1345[[#This Row],[Column1]]</f>
        <v>33.000000000007276</v>
      </c>
    </row>
    <row r="37" spans="1:8" x14ac:dyDescent="0.35">
      <c r="A37" s="2">
        <v>172</v>
      </c>
      <c r="B37" t="s">
        <v>189</v>
      </c>
      <c r="C37" s="13">
        <v>0.62648148148148153</v>
      </c>
      <c r="D37" s="13">
        <v>0.62687499999999996</v>
      </c>
      <c r="E37">
        <f>Table1345[[#This Row],[START]]*86400</f>
        <v>54128.000000000007</v>
      </c>
      <c r="F37">
        <f>Table1345[[#This Row],[END]]*86400</f>
        <v>54162</v>
      </c>
      <c r="G37">
        <f>Table1345[[#This Row],[Column2]]-Table1345[[#This Row],[Column1]]</f>
        <v>33.999999999992724</v>
      </c>
    </row>
    <row r="38" spans="1:8" x14ac:dyDescent="0.35">
      <c r="A38" s="2">
        <v>173</v>
      </c>
      <c r="B38" t="s">
        <v>190</v>
      </c>
      <c r="C38" s="13">
        <v>0.62687499999999996</v>
      </c>
      <c r="D38" s="13">
        <v>0.62723379629629628</v>
      </c>
      <c r="E38">
        <f>Table1345[[#This Row],[START]]*86400</f>
        <v>54162</v>
      </c>
      <c r="F38">
        <f>Table1345[[#This Row],[END]]*86400</f>
        <v>54193</v>
      </c>
      <c r="G38">
        <f>Table1345[[#This Row],[Column2]]-Table1345[[#This Row],[Column1]]</f>
        <v>31</v>
      </c>
    </row>
    <row r="39" spans="1:8" x14ac:dyDescent="0.35">
      <c r="A39" s="2">
        <v>174</v>
      </c>
      <c r="B39" t="s">
        <v>191</v>
      </c>
      <c r="C39" s="13">
        <v>0.62723379629629628</v>
      </c>
      <c r="D39" s="13">
        <v>0.62878472222222226</v>
      </c>
      <c r="E39">
        <f>Table1345[[#This Row],[START]]*86400</f>
        <v>54193</v>
      </c>
      <c r="F39">
        <f>Table1345[[#This Row],[END]]*86400</f>
        <v>54327</v>
      </c>
      <c r="G39">
        <f>Table1345[[#This Row],[Column2]]-Table1345[[#This Row],[Column1]]</f>
        <v>134</v>
      </c>
      <c r="H39" t="s">
        <v>484</v>
      </c>
    </row>
    <row r="40" spans="1:8" x14ac:dyDescent="0.35">
      <c r="A40" s="2">
        <v>175</v>
      </c>
      <c r="B40" t="s">
        <v>192</v>
      </c>
      <c r="C40" s="13">
        <v>0.62878472222222226</v>
      </c>
      <c r="D40" s="13">
        <v>0.62922453703703707</v>
      </c>
      <c r="E40">
        <f>Table1345[[#This Row],[START]]*86400</f>
        <v>54327</v>
      </c>
      <c r="F40">
        <f>Table1345[[#This Row],[END]]*86400</f>
        <v>54365</v>
      </c>
      <c r="G40">
        <f>Table1345[[#This Row],[Column2]]-Table1345[[#This Row],[Column1]]</f>
        <v>38</v>
      </c>
    </row>
    <row r="41" spans="1:8" x14ac:dyDescent="0.35">
      <c r="A41" s="2">
        <v>176</v>
      </c>
      <c r="B41" s="2"/>
      <c r="C41" s="18"/>
      <c r="D41" s="18"/>
      <c r="E41" s="17">
        <f>Table1345[[#This Row],[START]]*86400</f>
        <v>0</v>
      </c>
      <c r="F41" s="17">
        <f>Table1345[[#This Row],[END]]*86400</f>
        <v>0</v>
      </c>
      <c r="G41" s="17">
        <f>Table1345[[#This Row],[Column2]]-Table1345[[#This Row],[Column1]]</f>
        <v>0</v>
      </c>
      <c r="H41" t="s">
        <v>484</v>
      </c>
    </row>
    <row r="42" spans="1:8" x14ac:dyDescent="0.35">
      <c r="A42" s="2">
        <v>177</v>
      </c>
      <c r="B42" s="2"/>
      <c r="C42" s="18"/>
      <c r="D42" s="18"/>
      <c r="E42" s="17">
        <f>Table1345[[#This Row],[START]]*86400</f>
        <v>0</v>
      </c>
      <c r="F42" s="17">
        <f>Table1345[[#This Row],[END]]*86400</f>
        <v>0</v>
      </c>
      <c r="G42" s="17">
        <f>Table1345[[#This Row],[Column2]]-Table1345[[#This Row],[Column1]]</f>
        <v>0</v>
      </c>
      <c r="H42" t="s">
        <v>484</v>
      </c>
    </row>
    <row r="43" spans="1:8" x14ac:dyDescent="0.35">
      <c r="A43" s="2">
        <v>178</v>
      </c>
      <c r="B43" s="2"/>
      <c r="C43" s="18"/>
      <c r="D43" s="18"/>
      <c r="E43" s="17">
        <f>Table1345[[#This Row],[START]]*86400</f>
        <v>0</v>
      </c>
      <c r="F43" s="17">
        <f>Table1345[[#This Row],[END]]*86400</f>
        <v>0</v>
      </c>
      <c r="G43" s="17">
        <f>Table1345[[#This Row],[Column2]]-Table1345[[#This Row],[Column1]]</f>
        <v>0</v>
      </c>
      <c r="H43" t="s">
        <v>484</v>
      </c>
    </row>
    <row r="44" spans="1:8" x14ac:dyDescent="0.35">
      <c r="A44" s="2">
        <v>179</v>
      </c>
      <c r="B44" t="s">
        <v>197</v>
      </c>
      <c r="C44" s="13">
        <v>0.63582175925925921</v>
      </c>
      <c r="D44" s="13">
        <v>0.63616898148148149</v>
      </c>
      <c r="E44">
        <f>Table1345[[#This Row],[START]]*86400</f>
        <v>54934.999999999993</v>
      </c>
      <c r="F44">
        <f>Table1345[[#This Row],[END]]*86400</f>
        <v>54965</v>
      </c>
      <c r="G44">
        <f>Table1345[[#This Row],[Column2]]-Table1345[[#This Row],[Column1]]</f>
        <v>30.000000000007276</v>
      </c>
    </row>
    <row r="45" spans="1:8" x14ac:dyDescent="0.35">
      <c r="A45" s="2">
        <v>180</v>
      </c>
      <c r="B45" t="s">
        <v>198</v>
      </c>
      <c r="C45" s="13">
        <v>0.63616898148148149</v>
      </c>
      <c r="D45" s="13">
        <v>0.63655092592592588</v>
      </c>
      <c r="E45">
        <f>Table1345[[#This Row],[START]]*86400</f>
        <v>54965</v>
      </c>
      <c r="F45">
        <f>Table1345[[#This Row],[END]]*86400</f>
        <v>54997.999999999993</v>
      </c>
      <c r="G45">
        <f>Table1345[[#This Row],[Column2]]-Table1345[[#This Row],[Column1]]</f>
        <v>32.999999999992724</v>
      </c>
    </row>
    <row r="46" spans="1:8" x14ac:dyDescent="0.35">
      <c r="A46" s="2">
        <v>181</v>
      </c>
      <c r="B46" t="s">
        <v>200</v>
      </c>
      <c r="C46" s="13">
        <v>0.63655092592592588</v>
      </c>
      <c r="D46" s="13">
        <v>0.63703703703703707</v>
      </c>
      <c r="E46">
        <f>Table1345[[#This Row],[START]]*86400</f>
        <v>54997.999999999993</v>
      </c>
      <c r="F46">
        <f>Table1345[[#This Row],[END]]*86400</f>
        <v>55040</v>
      </c>
      <c r="G46">
        <f>Table1345[[#This Row],[Column2]]-Table1345[[#This Row],[Column1]]</f>
        <v>42.000000000007276</v>
      </c>
      <c r="H46" t="s">
        <v>519</v>
      </c>
    </row>
    <row r="47" spans="1:8" x14ac:dyDescent="0.35">
      <c r="A47" s="2">
        <v>182</v>
      </c>
      <c r="B47" t="s">
        <v>202</v>
      </c>
      <c r="C47" s="13">
        <v>0.63703703703703707</v>
      </c>
      <c r="D47" s="13">
        <v>0.63736111111111116</v>
      </c>
      <c r="E47">
        <f>Table1345[[#This Row],[START]]*86400</f>
        <v>55040</v>
      </c>
      <c r="F47">
        <f>Table1345[[#This Row],[END]]*86400</f>
        <v>55068.000000000007</v>
      </c>
      <c r="G47">
        <f>Table1345[[#This Row],[Column2]]-Table1345[[#This Row],[Column1]]</f>
        <v>28.000000000007276</v>
      </c>
    </row>
    <row r="48" spans="1:8" x14ac:dyDescent="0.35">
      <c r="A48" s="2">
        <v>183</v>
      </c>
      <c r="B48" t="s">
        <v>203</v>
      </c>
      <c r="C48" s="13">
        <v>0.63736111111111116</v>
      </c>
      <c r="D48" s="13">
        <v>0.63768518518518513</v>
      </c>
      <c r="E48">
        <f>Table1345[[#This Row],[START]]*86400</f>
        <v>55068.000000000007</v>
      </c>
      <c r="F48">
        <f>Table1345[[#This Row],[END]]*86400</f>
        <v>55095.999999999993</v>
      </c>
      <c r="G48">
        <f>Table1345[[#This Row],[Column2]]-Table1345[[#This Row],[Column1]]</f>
        <v>27.999999999985448</v>
      </c>
    </row>
    <row r="49" spans="1:8" x14ac:dyDescent="0.35">
      <c r="A49" s="2">
        <v>184</v>
      </c>
      <c r="B49" t="s">
        <v>204</v>
      </c>
      <c r="C49" s="13">
        <v>0.63768518518518513</v>
      </c>
      <c r="D49" s="13">
        <v>0.63798611111111114</v>
      </c>
      <c r="E49">
        <f>Table1345[[#This Row],[START]]*86400</f>
        <v>55095.999999999993</v>
      </c>
      <c r="F49">
        <f>Table1345[[#This Row],[END]]*86400</f>
        <v>55122</v>
      </c>
      <c r="G49">
        <f>Table1345[[#This Row],[Column2]]-Table1345[[#This Row],[Column1]]</f>
        <v>26.000000000007276</v>
      </c>
    </row>
    <row r="50" spans="1:8" x14ac:dyDescent="0.35">
      <c r="A50" s="2">
        <v>185</v>
      </c>
      <c r="B50" t="s">
        <v>205</v>
      </c>
      <c r="C50" s="13">
        <v>0.63798611111111114</v>
      </c>
      <c r="D50" s="13">
        <v>0.63829861111111108</v>
      </c>
      <c r="E50">
        <f>Table1345[[#This Row],[START]]*86400</f>
        <v>55122</v>
      </c>
      <c r="F50">
        <f>Table1345[[#This Row],[END]]*86400</f>
        <v>55149</v>
      </c>
      <c r="G50">
        <f>Table1345[[#This Row],[Column2]]-Table1345[[#This Row],[Column1]]</f>
        <v>27</v>
      </c>
    </row>
    <row r="51" spans="1:8" x14ac:dyDescent="0.35">
      <c r="A51" s="2">
        <v>186</v>
      </c>
      <c r="B51" t="s">
        <v>206</v>
      </c>
      <c r="C51" s="13">
        <v>0.63829861111111108</v>
      </c>
      <c r="D51" s="13">
        <v>0.63859953703703709</v>
      </c>
      <c r="E51">
        <f>Table1345[[#This Row],[START]]*86400</f>
        <v>55149</v>
      </c>
      <c r="F51">
        <f>Table1345[[#This Row],[END]]*86400</f>
        <v>55175.000000000007</v>
      </c>
      <c r="G51">
        <f>Table1345[[#This Row],[Column2]]-Table1345[[#This Row],[Column1]]</f>
        <v>26.000000000007276</v>
      </c>
    </row>
    <row r="52" spans="1:8" x14ac:dyDescent="0.35">
      <c r="A52" s="2">
        <v>187</v>
      </c>
      <c r="B52" t="s">
        <v>207</v>
      </c>
      <c r="C52" s="13">
        <v>0.64732638888888894</v>
      </c>
      <c r="D52" s="13">
        <v>0.65075231481481477</v>
      </c>
      <c r="E52">
        <f>Table1345[[#This Row],[START]]*86400</f>
        <v>55929.000000000007</v>
      </c>
      <c r="F52">
        <f>Table1345[[#This Row],[END]]*86400</f>
        <v>56224.999999999993</v>
      </c>
      <c r="G52">
        <f>Table1345[[#This Row],[Column2]]-Table1345[[#This Row],[Column1]]</f>
        <v>295.99999999998545</v>
      </c>
      <c r="H52" t="s">
        <v>484</v>
      </c>
    </row>
    <row r="53" spans="1:8" x14ac:dyDescent="0.35">
      <c r="A53" s="2">
        <v>188</v>
      </c>
      <c r="B53" t="s">
        <v>208</v>
      </c>
      <c r="C53" s="13">
        <v>0.65075231481481477</v>
      </c>
      <c r="D53" s="13">
        <v>0.65128472222222222</v>
      </c>
      <c r="E53">
        <f>Table1345[[#This Row],[START]]*86400</f>
        <v>56224.999999999993</v>
      </c>
      <c r="F53">
        <f>Table1345[[#This Row],[END]]*86400</f>
        <v>56271</v>
      </c>
      <c r="G53">
        <f>Table1345[[#This Row],[Column2]]-Table1345[[#This Row],[Column1]]</f>
        <v>46.000000000007276</v>
      </c>
    </row>
    <row r="54" spans="1:8" x14ac:dyDescent="0.35">
      <c r="A54" s="2">
        <v>189</v>
      </c>
      <c r="B54" t="s">
        <v>209</v>
      </c>
      <c r="C54" s="13">
        <v>0.65128472222222222</v>
      </c>
      <c r="D54" s="13">
        <v>0.65241898148148147</v>
      </c>
      <c r="E54">
        <f>Table1345[[#This Row],[START]]*86400</f>
        <v>56271</v>
      </c>
      <c r="F54">
        <f>Table1345[[#This Row],[END]]*86400</f>
        <v>56369</v>
      </c>
      <c r="G54">
        <f>Table1345[[#This Row],[Column2]]-Table1345[[#This Row],[Column1]]</f>
        <v>98</v>
      </c>
      <c r="H54" t="s">
        <v>484</v>
      </c>
    </row>
    <row r="55" spans="1:8" x14ac:dyDescent="0.35">
      <c r="A55" s="2">
        <v>190</v>
      </c>
      <c r="B55" t="s">
        <v>210</v>
      </c>
      <c r="C55" s="13">
        <v>0.65241898148148147</v>
      </c>
      <c r="D55" s="13">
        <v>0.65280092592592598</v>
      </c>
      <c r="E55">
        <f>Table1345[[#This Row],[START]]*86400</f>
        <v>56369</v>
      </c>
      <c r="F55">
        <f>Table1345[[#This Row],[END]]*86400</f>
        <v>56402.000000000007</v>
      </c>
      <c r="G55">
        <f>Table1345[[#This Row],[Column2]]-Table1345[[#This Row],[Column1]]</f>
        <v>33.000000000007276</v>
      </c>
    </row>
    <row r="56" spans="1:8" x14ac:dyDescent="0.35">
      <c r="A56" s="2">
        <v>191</v>
      </c>
      <c r="B56" t="s">
        <v>211</v>
      </c>
      <c r="C56" s="13">
        <v>0.65280092592592598</v>
      </c>
      <c r="D56" s="13">
        <v>0.65332175925925928</v>
      </c>
      <c r="E56">
        <f>Table1345[[#This Row],[START]]*86400</f>
        <v>56402.000000000007</v>
      </c>
      <c r="F56">
        <f>Table1345[[#This Row],[END]]*86400</f>
        <v>56447</v>
      </c>
      <c r="G56">
        <f>Table1345[[#This Row],[Column2]]-Table1345[[#This Row],[Column1]]</f>
        <v>44.999999999992724</v>
      </c>
      <c r="H56" t="s">
        <v>519</v>
      </c>
    </row>
    <row r="57" spans="1:8" x14ac:dyDescent="0.35">
      <c r="A57" s="2">
        <v>192</v>
      </c>
      <c r="B57" t="s">
        <v>212</v>
      </c>
      <c r="C57" s="13">
        <v>0.65332175925925928</v>
      </c>
      <c r="D57" s="13">
        <v>0.65362268518518518</v>
      </c>
      <c r="E57">
        <f>Table1345[[#This Row],[START]]*86400</f>
        <v>56447</v>
      </c>
      <c r="F57">
        <f>Table1345[[#This Row],[END]]*86400</f>
        <v>56473</v>
      </c>
      <c r="G57">
        <f>Table1345[[#This Row],[Column2]]-Table1345[[#This Row],[Column1]]</f>
        <v>26</v>
      </c>
    </row>
    <row r="58" spans="1:8" x14ac:dyDescent="0.35">
      <c r="A58" s="2">
        <v>193</v>
      </c>
      <c r="B58" t="s">
        <v>213</v>
      </c>
      <c r="C58" s="13">
        <v>0.65362268518518518</v>
      </c>
      <c r="D58" s="13">
        <v>0.65396990740740746</v>
      </c>
      <c r="E58">
        <f>Table1345[[#This Row],[START]]*86400</f>
        <v>56473</v>
      </c>
      <c r="F58">
        <f>Table1345[[#This Row],[END]]*86400</f>
        <v>56503.000000000007</v>
      </c>
      <c r="G58">
        <f>Table1345[[#This Row],[Column2]]-Table1345[[#This Row],[Column1]]</f>
        <v>30.000000000007276</v>
      </c>
    </row>
    <row r="59" spans="1:8" x14ac:dyDescent="0.35">
      <c r="A59" s="2">
        <v>194</v>
      </c>
      <c r="B59" t="s">
        <v>214</v>
      </c>
      <c r="C59" s="13">
        <v>0.65396990740740746</v>
      </c>
      <c r="D59" s="13">
        <v>0.65432870370370366</v>
      </c>
      <c r="E59">
        <f>Table1345[[#This Row],[START]]*86400</f>
        <v>56503.000000000007</v>
      </c>
      <c r="F59">
        <f>Table1345[[#This Row],[END]]*86400</f>
        <v>56534</v>
      </c>
      <c r="G59">
        <f>Table1345[[#This Row],[Column2]]-Table1345[[#This Row],[Column1]]</f>
        <v>30.999999999992724</v>
      </c>
    </row>
    <row r="60" spans="1:8" x14ac:dyDescent="0.35">
      <c r="A60" s="2">
        <v>195</v>
      </c>
      <c r="B60" t="s">
        <v>215</v>
      </c>
      <c r="C60" s="13">
        <v>0.65432870370370366</v>
      </c>
      <c r="D60" s="13">
        <v>0.65473379629629624</v>
      </c>
      <c r="E60">
        <f>Table1345[[#This Row],[START]]*86400</f>
        <v>56534</v>
      </c>
      <c r="F60">
        <f>Table1345[[#This Row],[END]]*86400</f>
        <v>56568.999999999993</v>
      </c>
      <c r="G60">
        <f>Table1345[[#This Row],[Column2]]-Table1345[[#This Row],[Column1]]</f>
        <v>34.999999999992724</v>
      </c>
    </row>
    <row r="61" spans="1:8" x14ac:dyDescent="0.35">
      <c r="A61" s="2">
        <v>196</v>
      </c>
      <c r="B61" t="s">
        <v>216</v>
      </c>
      <c r="C61" s="13">
        <v>0.65533564814814815</v>
      </c>
      <c r="D61" s="13">
        <v>0.65576388888888892</v>
      </c>
      <c r="E61">
        <f>Table1345[[#This Row],[START]]*86400</f>
        <v>56621</v>
      </c>
      <c r="F61">
        <f>Table1345[[#This Row],[END]]*86400</f>
        <v>56658</v>
      </c>
      <c r="G61">
        <f>Table1345[[#This Row],[Column2]]-Table1345[[#This Row],[Column1]]</f>
        <v>37</v>
      </c>
    </row>
    <row r="62" spans="1:8" x14ac:dyDescent="0.35">
      <c r="A62" s="2">
        <v>197</v>
      </c>
      <c r="B62" t="s">
        <v>217</v>
      </c>
      <c r="C62" s="13">
        <v>0.65576388888888892</v>
      </c>
      <c r="D62" s="13">
        <v>0.65623842592592596</v>
      </c>
      <c r="E62">
        <f>Table1345[[#This Row],[START]]*86400</f>
        <v>56658</v>
      </c>
      <c r="F62">
        <f>Table1345[[#This Row],[END]]*86400</f>
        <v>56699</v>
      </c>
      <c r="G62">
        <f>Table1345[[#This Row],[Column2]]-Table1345[[#This Row],[Column1]]</f>
        <v>41</v>
      </c>
    </row>
    <row r="63" spans="1:8" x14ac:dyDescent="0.35">
      <c r="A63" s="2">
        <v>198</v>
      </c>
      <c r="B63" t="s">
        <v>218</v>
      </c>
      <c r="C63" s="13">
        <v>0.65623842592592596</v>
      </c>
      <c r="D63" s="13">
        <v>0.65667824074074077</v>
      </c>
      <c r="E63">
        <f>Table1345[[#This Row],[START]]*86400</f>
        <v>56699</v>
      </c>
      <c r="F63">
        <f>Table1345[[#This Row],[END]]*86400</f>
        <v>56737</v>
      </c>
      <c r="G63">
        <f>Table1345[[#This Row],[Column2]]-Table1345[[#This Row],[Column1]]</f>
        <v>38</v>
      </c>
    </row>
    <row r="64" spans="1:8" x14ac:dyDescent="0.35">
      <c r="A64" s="2">
        <v>199</v>
      </c>
      <c r="B64" t="s">
        <v>219</v>
      </c>
      <c r="C64" s="13">
        <v>0.65667824074074077</v>
      </c>
      <c r="D64" s="13">
        <v>0.65709490740740739</v>
      </c>
      <c r="E64">
        <f>Table1345[[#This Row],[START]]*86400</f>
        <v>56737</v>
      </c>
      <c r="F64">
        <f>Table1345[[#This Row],[END]]*86400</f>
        <v>56773</v>
      </c>
      <c r="G64">
        <f>Table1345[[#This Row],[Column2]]-Table1345[[#This Row],[Column1]]</f>
        <v>36</v>
      </c>
    </row>
    <row r="65" spans="1:8" x14ac:dyDescent="0.35">
      <c r="A65" s="2">
        <v>200</v>
      </c>
      <c r="B65" t="s">
        <v>220</v>
      </c>
      <c r="C65" s="13">
        <v>0.65709490740740739</v>
      </c>
      <c r="D65" s="13">
        <v>0.65748842592592593</v>
      </c>
      <c r="E65">
        <f>Table1345[[#This Row],[START]]*86400</f>
        <v>56773</v>
      </c>
      <c r="F65">
        <f>Table1345[[#This Row],[END]]*86400</f>
        <v>56807</v>
      </c>
      <c r="G65">
        <f>Table1345[[#This Row],[Column2]]-Table1345[[#This Row],[Column1]]</f>
        <v>34</v>
      </c>
    </row>
    <row r="66" spans="1:8" x14ac:dyDescent="0.35">
      <c r="A66" s="2">
        <v>201</v>
      </c>
      <c r="B66" t="s">
        <v>221</v>
      </c>
      <c r="C66" s="13">
        <v>0.65748842592592593</v>
      </c>
      <c r="D66" s="13">
        <v>0.65788194444444448</v>
      </c>
      <c r="E66">
        <f>Table1345[[#This Row],[START]]*86400</f>
        <v>56807</v>
      </c>
      <c r="F66">
        <f>Table1345[[#This Row],[END]]*86400</f>
        <v>56841</v>
      </c>
      <c r="G66">
        <f>Table1345[[#This Row],[Column2]]-Table1345[[#This Row],[Column1]]</f>
        <v>34</v>
      </c>
    </row>
    <row r="67" spans="1:8" x14ac:dyDescent="0.35">
      <c r="A67" s="2">
        <v>202</v>
      </c>
      <c r="B67" t="s">
        <v>222</v>
      </c>
      <c r="C67" s="13">
        <v>0.65788194444444448</v>
      </c>
      <c r="D67" s="13">
        <v>0.65831018518518514</v>
      </c>
      <c r="E67">
        <f>Table1345[[#This Row],[START]]*86400</f>
        <v>56841</v>
      </c>
      <c r="F67">
        <f>Table1345[[#This Row],[END]]*86400</f>
        <v>56877.999999999993</v>
      </c>
      <c r="G67">
        <f>Table1345[[#This Row],[Column2]]-Table1345[[#This Row],[Column1]]</f>
        <v>36.999999999992724</v>
      </c>
    </row>
    <row r="68" spans="1:8" x14ac:dyDescent="0.35">
      <c r="A68" s="2">
        <v>203</v>
      </c>
      <c r="B68" t="s">
        <v>223</v>
      </c>
      <c r="C68" s="13">
        <v>0.65831018518518514</v>
      </c>
      <c r="D68" s="13">
        <v>0.65874999999999995</v>
      </c>
      <c r="E68">
        <f>Table1345[[#This Row],[START]]*86400</f>
        <v>56877.999999999993</v>
      </c>
      <c r="F68">
        <f>Table1345[[#This Row],[END]]*86400</f>
        <v>56915.999999999993</v>
      </c>
      <c r="G68">
        <f>Table1345[[#This Row],[Column2]]-Table1345[[#This Row],[Column1]]</f>
        <v>38</v>
      </c>
    </row>
    <row r="69" spans="1:8" x14ac:dyDescent="0.35">
      <c r="A69" s="2">
        <v>204</v>
      </c>
      <c r="B69" t="s">
        <v>224</v>
      </c>
      <c r="C69" s="13">
        <v>0.65874999999999995</v>
      </c>
      <c r="D69" s="13">
        <v>0.65917824074074072</v>
      </c>
      <c r="E69">
        <f>Table1345[[#This Row],[START]]*86400</f>
        <v>56915.999999999993</v>
      </c>
      <c r="F69">
        <f>Table1345[[#This Row],[END]]*86400</f>
        <v>56953</v>
      </c>
      <c r="G69">
        <f>Table1345[[#This Row],[Column2]]-Table1345[[#This Row],[Column1]]</f>
        <v>37.000000000007276</v>
      </c>
    </row>
    <row r="70" spans="1:8" x14ac:dyDescent="0.35">
      <c r="A70" s="2">
        <v>205</v>
      </c>
      <c r="B70" t="s">
        <v>225</v>
      </c>
      <c r="C70" s="13">
        <v>0.65917824074074072</v>
      </c>
      <c r="D70" s="13">
        <v>0.65960648148148149</v>
      </c>
      <c r="E70">
        <f>Table1345[[#This Row],[START]]*86400</f>
        <v>56953</v>
      </c>
      <c r="F70">
        <f>Table1345[[#This Row],[END]]*86400</f>
        <v>56990</v>
      </c>
      <c r="G70">
        <f>Table1345[[#This Row],[Column2]]-Table1345[[#This Row],[Column1]]</f>
        <v>37</v>
      </c>
    </row>
    <row r="71" spans="1:8" x14ac:dyDescent="0.35">
      <c r="A71" s="2">
        <v>206</v>
      </c>
      <c r="B71" t="s">
        <v>226</v>
      </c>
      <c r="C71" s="13">
        <v>0.65960648148148149</v>
      </c>
      <c r="D71" s="13">
        <v>0.66008101851851853</v>
      </c>
      <c r="E71">
        <f>Table1345[[#This Row],[START]]*86400</f>
        <v>56990</v>
      </c>
      <c r="F71">
        <f>Table1345[[#This Row],[END]]*86400</f>
        <v>57031</v>
      </c>
      <c r="G71">
        <f>Table1345[[#This Row],[Column2]]-Table1345[[#This Row],[Column1]]</f>
        <v>41</v>
      </c>
    </row>
    <row r="72" spans="1:8" x14ac:dyDescent="0.35">
      <c r="A72" s="2">
        <v>207</v>
      </c>
      <c r="B72" t="s">
        <v>227</v>
      </c>
      <c r="C72" s="13">
        <v>0.66008101851851853</v>
      </c>
      <c r="D72" s="13">
        <v>0.6605671296296296</v>
      </c>
      <c r="E72">
        <f>Table1345[[#This Row],[START]]*86400</f>
        <v>57031</v>
      </c>
      <c r="F72">
        <f>Table1345[[#This Row],[END]]*86400</f>
        <v>57073</v>
      </c>
      <c r="G72">
        <f>Table1345[[#This Row],[Column2]]-Table1345[[#This Row],[Column1]]</f>
        <v>42</v>
      </c>
    </row>
    <row r="73" spans="1:8" x14ac:dyDescent="0.35">
      <c r="A73" s="2">
        <v>208</v>
      </c>
      <c r="B73" t="s">
        <v>228</v>
      </c>
      <c r="C73" s="13">
        <v>0.6605671296296296</v>
      </c>
      <c r="D73" s="13">
        <v>0.66113425925925928</v>
      </c>
      <c r="E73">
        <f>Table1345[[#This Row],[START]]*86400</f>
        <v>57073</v>
      </c>
      <c r="F73">
        <f>Table1345[[#This Row],[END]]*86400</f>
        <v>57122</v>
      </c>
      <c r="G73">
        <f>Table1345[[#This Row],[Column2]]-Table1345[[#This Row],[Column1]]</f>
        <v>49</v>
      </c>
    </row>
    <row r="74" spans="1:8" x14ac:dyDescent="0.35">
      <c r="A74" s="2">
        <v>209</v>
      </c>
      <c r="B74" t="s">
        <v>229</v>
      </c>
      <c r="C74" s="13">
        <v>0.66113425925925928</v>
      </c>
      <c r="D74" s="13">
        <v>0.66162037037037036</v>
      </c>
      <c r="E74">
        <f>Table1345[[#This Row],[START]]*86400</f>
        <v>57122</v>
      </c>
      <c r="F74">
        <f>Table1345[[#This Row],[END]]*86400</f>
        <v>57164</v>
      </c>
      <c r="G74">
        <f>Table1345[[#This Row],[Column2]]-Table1345[[#This Row],[Column1]]</f>
        <v>42</v>
      </c>
    </row>
    <row r="75" spans="1:8" x14ac:dyDescent="0.35">
      <c r="A75" s="2">
        <v>210</v>
      </c>
      <c r="B75" t="s">
        <v>230</v>
      </c>
      <c r="C75" s="13">
        <v>0.66162037037037036</v>
      </c>
      <c r="D75" s="13">
        <v>0.66221064814814812</v>
      </c>
      <c r="E75">
        <f>Table1345[[#This Row],[START]]*86400</f>
        <v>57164</v>
      </c>
      <c r="F75">
        <f>Table1345[[#This Row],[END]]*86400</f>
        <v>57215</v>
      </c>
      <c r="G75">
        <f>Table1345[[#This Row],[Column2]]-Table1345[[#This Row],[Column1]]</f>
        <v>51</v>
      </c>
      <c r="H75" t="s">
        <v>519</v>
      </c>
    </row>
    <row r="76" spans="1:8" x14ac:dyDescent="0.35">
      <c r="A76" s="2">
        <v>211</v>
      </c>
      <c r="B76" t="s">
        <v>231</v>
      </c>
      <c r="C76" s="13">
        <v>0.67973379629629627</v>
      </c>
      <c r="D76" s="13">
        <v>0.68012731481481481</v>
      </c>
      <c r="E76">
        <f>Table1345[[#This Row],[START]]*86400</f>
        <v>58729</v>
      </c>
      <c r="F76">
        <f>Table1345[[#This Row],[END]]*86400</f>
        <v>58763</v>
      </c>
      <c r="G76">
        <f>Table1345[[#This Row],[Column2]]-Table1345[[#This Row],[Column1]]</f>
        <v>34</v>
      </c>
    </row>
    <row r="77" spans="1:8" x14ac:dyDescent="0.35">
      <c r="A77" s="2">
        <v>212</v>
      </c>
      <c r="B77" t="s">
        <v>232</v>
      </c>
      <c r="C77" s="13">
        <v>0.68012731481481481</v>
      </c>
      <c r="D77" s="13">
        <v>0.68048611111111112</v>
      </c>
      <c r="E77">
        <f>Table1345[[#This Row],[START]]*86400</f>
        <v>58763</v>
      </c>
      <c r="F77">
        <f>Table1345[[#This Row],[END]]*86400</f>
        <v>58794</v>
      </c>
      <c r="G77">
        <f>Table1345[[#This Row],[Column2]]-Table1345[[#This Row],[Column1]]</f>
        <v>31</v>
      </c>
    </row>
    <row r="78" spans="1:8" x14ac:dyDescent="0.35">
      <c r="A78" s="2">
        <v>213</v>
      </c>
      <c r="B78" t="s">
        <v>233</v>
      </c>
      <c r="C78" s="13">
        <v>0.68048611111111112</v>
      </c>
      <c r="D78" s="13">
        <v>0.68085648148148148</v>
      </c>
      <c r="E78">
        <f>Table1345[[#This Row],[START]]*86400</f>
        <v>58794</v>
      </c>
      <c r="F78">
        <f>Table1345[[#This Row],[END]]*86400</f>
        <v>58826</v>
      </c>
      <c r="G78">
        <f>Table1345[[#This Row],[Column2]]-Table1345[[#This Row],[Column1]]</f>
        <v>32</v>
      </c>
    </row>
    <row r="79" spans="1:8" x14ac:dyDescent="0.35">
      <c r="A79" s="2">
        <v>214</v>
      </c>
      <c r="B79" t="s">
        <v>234</v>
      </c>
      <c r="C79" s="13">
        <v>0.68085648148148148</v>
      </c>
      <c r="D79" s="13">
        <v>0.68121527777777779</v>
      </c>
      <c r="E79">
        <f>Table1345[[#This Row],[START]]*86400</f>
        <v>58826</v>
      </c>
      <c r="F79">
        <f>Table1345[[#This Row],[END]]*86400</f>
        <v>58857</v>
      </c>
      <c r="G79">
        <f>Table1345[[#This Row],[Column2]]-Table1345[[#This Row],[Column1]]</f>
        <v>31</v>
      </c>
    </row>
    <row r="80" spans="1:8" x14ac:dyDescent="0.35">
      <c r="A80" s="2">
        <v>215</v>
      </c>
      <c r="B80" t="s">
        <v>235</v>
      </c>
      <c r="C80" s="13">
        <v>0.68121527777777779</v>
      </c>
      <c r="D80" s="13">
        <v>0.68156249999999996</v>
      </c>
      <c r="E80">
        <f>Table1345[[#This Row],[START]]*86400</f>
        <v>58857</v>
      </c>
      <c r="F80">
        <f>Table1345[[#This Row],[END]]*86400</f>
        <v>58887</v>
      </c>
      <c r="G80">
        <f>Table1345[[#This Row],[Column2]]-Table1345[[#This Row],[Column1]]</f>
        <v>30</v>
      </c>
    </row>
    <row r="81" spans="1:8" x14ac:dyDescent="0.35">
      <c r="A81" s="2">
        <v>216</v>
      </c>
      <c r="B81" t="s">
        <v>236</v>
      </c>
      <c r="C81" s="13">
        <v>0.68156249999999996</v>
      </c>
      <c r="D81" s="13">
        <v>0.6819560185185185</v>
      </c>
      <c r="E81">
        <f>Table1345[[#This Row],[START]]*86400</f>
        <v>58887</v>
      </c>
      <c r="F81">
        <f>Table1345[[#This Row],[END]]*86400</f>
        <v>58921</v>
      </c>
      <c r="G81">
        <f>Table1345[[#This Row],[Column2]]-Table1345[[#This Row],[Column1]]</f>
        <v>34</v>
      </c>
    </row>
    <row r="82" spans="1:8" x14ac:dyDescent="0.35">
      <c r="A82" s="2">
        <v>217</v>
      </c>
      <c r="B82" t="s">
        <v>237</v>
      </c>
      <c r="C82" s="13">
        <v>0.6819560185185185</v>
      </c>
      <c r="D82" s="13">
        <v>0.68234953703703705</v>
      </c>
      <c r="E82">
        <f>Table1345[[#This Row],[START]]*86400</f>
        <v>58921</v>
      </c>
      <c r="F82">
        <f>Table1345[[#This Row],[END]]*86400</f>
        <v>58955</v>
      </c>
      <c r="G82">
        <f>Table1345[[#This Row],[Column2]]-Table1345[[#This Row],[Column1]]</f>
        <v>34</v>
      </c>
    </row>
    <row r="83" spans="1:8" x14ac:dyDescent="0.35">
      <c r="A83" s="2">
        <v>218</v>
      </c>
      <c r="B83" t="s">
        <v>238</v>
      </c>
      <c r="C83" s="13">
        <v>0.68234953703703705</v>
      </c>
      <c r="D83" s="13">
        <v>0.6827199074074074</v>
      </c>
      <c r="E83">
        <f>Table1345[[#This Row],[START]]*86400</f>
        <v>58955</v>
      </c>
      <c r="F83">
        <f>Table1345[[#This Row],[END]]*86400</f>
        <v>58987</v>
      </c>
      <c r="G83">
        <f>Table1345[[#This Row],[Column2]]-Table1345[[#This Row],[Column1]]</f>
        <v>32</v>
      </c>
    </row>
    <row r="84" spans="1:8" x14ac:dyDescent="0.35">
      <c r="A84" s="2">
        <v>219</v>
      </c>
      <c r="B84" t="s">
        <v>239</v>
      </c>
      <c r="C84" s="13">
        <v>0.6827199074074074</v>
      </c>
      <c r="D84" s="13">
        <v>0.68312499999999998</v>
      </c>
      <c r="E84">
        <f>Table1345[[#This Row],[START]]*86400</f>
        <v>58987</v>
      </c>
      <c r="F84">
        <f>Table1345[[#This Row],[END]]*86400</f>
        <v>59022</v>
      </c>
      <c r="G84">
        <f>Table1345[[#This Row],[Column2]]-Table1345[[#This Row],[Column1]]</f>
        <v>35</v>
      </c>
    </row>
    <row r="85" spans="1:8" x14ac:dyDescent="0.35">
      <c r="A85" s="2">
        <v>220</v>
      </c>
      <c r="B85" t="s">
        <v>240</v>
      </c>
      <c r="C85" s="13">
        <v>0.68312499999999998</v>
      </c>
      <c r="D85" s="13">
        <v>0.68353009259259256</v>
      </c>
      <c r="E85">
        <f>Table1345[[#This Row],[START]]*86400</f>
        <v>59022</v>
      </c>
      <c r="F85">
        <f>Table1345[[#This Row],[END]]*86400</f>
        <v>59057</v>
      </c>
      <c r="G85">
        <f>Table1345[[#This Row],[Column2]]-Table1345[[#This Row],[Column1]]</f>
        <v>35</v>
      </c>
    </row>
    <row r="86" spans="1:8" x14ac:dyDescent="0.35">
      <c r="A86" s="2">
        <v>221</v>
      </c>
      <c r="B86" t="s">
        <v>241</v>
      </c>
      <c r="C86" s="13">
        <v>0.68353009259259256</v>
      </c>
      <c r="D86" s="13">
        <v>0.68392361111111111</v>
      </c>
      <c r="E86">
        <f>Table1345[[#This Row],[START]]*86400</f>
        <v>59057</v>
      </c>
      <c r="F86">
        <f>Table1345[[#This Row],[END]]*86400</f>
        <v>59091</v>
      </c>
      <c r="G86">
        <f>Table1345[[#This Row],[Column2]]-Table1345[[#This Row],[Column1]]</f>
        <v>34</v>
      </c>
    </row>
    <row r="87" spans="1:8" x14ac:dyDescent="0.35">
      <c r="A87" s="2">
        <v>222</v>
      </c>
      <c r="B87" t="s">
        <v>242</v>
      </c>
      <c r="C87" s="13">
        <v>0.68392361111111111</v>
      </c>
      <c r="D87" s="13">
        <v>0.68439814814814814</v>
      </c>
      <c r="E87">
        <f>Table1345[[#This Row],[START]]*86400</f>
        <v>59091</v>
      </c>
      <c r="F87">
        <f>Table1345[[#This Row],[END]]*86400</f>
        <v>59132</v>
      </c>
      <c r="G87">
        <f>Table1345[[#This Row],[Column2]]-Table1345[[#This Row],[Column1]]</f>
        <v>41</v>
      </c>
    </row>
    <row r="88" spans="1:8" x14ac:dyDescent="0.35">
      <c r="A88" s="2">
        <v>223</v>
      </c>
      <c r="B88" t="s">
        <v>243</v>
      </c>
      <c r="C88" s="13">
        <v>0.68439814814814814</v>
      </c>
      <c r="D88" s="13">
        <v>0.68483796296296295</v>
      </c>
      <c r="E88">
        <f>Table1345[[#This Row],[START]]*86400</f>
        <v>59132</v>
      </c>
      <c r="F88">
        <f>Table1345[[#This Row],[END]]*86400</f>
        <v>59170</v>
      </c>
      <c r="G88">
        <f>Table1345[[#This Row],[Column2]]-Table1345[[#This Row],[Column1]]</f>
        <v>38</v>
      </c>
    </row>
    <row r="89" spans="1:8" x14ac:dyDescent="0.35">
      <c r="A89" s="2">
        <v>224</v>
      </c>
      <c r="B89" t="s">
        <v>244</v>
      </c>
      <c r="C89" s="13">
        <v>0.68483796296296295</v>
      </c>
      <c r="D89" s="13">
        <v>0.68530092592592595</v>
      </c>
      <c r="E89">
        <f>Table1345[[#This Row],[START]]*86400</f>
        <v>59170</v>
      </c>
      <c r="F89">
        <f>Table1345[[#This Row],[END]]*86400</f>
        <v>59210</v>
      </c>
      <c r="G89">
        <f>Table1345[[#This Row],[Column2]]-Table1345[[#This Row],[Column1]]</f>
        <v>40</v>
      </c>
    </row>
    <row r="90" spans="1:8" x14ac:dyDescent="0.35">
      <c r="A90" s="2">
        <v>225</v>
      </c>
      <c r="B90" t="s">
        <v>245</v>
      </c>
      <c r="C90" s="13">
        <v>0.68530092592592595</v>
      </c>
      <c r="D90" s="13">
        <v>0.68572916666666661</v>
      </c>
      <c r="E90">
        <f>Table1345[[#This Row],[START]]*86400</f>
        <v>59210</v>
      </c>
      <c r="F90">
        <f>Table1345[[#This Row],[END]]*86400</f>
        <v>59246.999999999993</v>
      </c>
      <c r="G90">
        <f>Table1345[[#This Row],[Column2]]-Table1345[[#This Row],[Column1]]</f>
        <v>36.999999999992724</v>
      </c>
    </row>
    <row r="91" spans="1:8" x14ac:dyDescent="0.35">
      <c r="A91" s="2">
        <v>226</v>
      </c>
      <c r="B91" t="s">
        <v>246</v>
      </c>
      <c r="C91" s="13">
        <v>0.68572916666666661</v>
      </c>
      <c r="D91" s="13">
        <v>0.68612268518518515</v>
      </c>
      <c r="E91">
        <f>Table1345[[#This Row],[START]]*86400</f>
        <v>59246.999999999993</v>
      </c>
      <c r="F91">
        <f>Table1345[[#This Row],[END]]*86400</f>
        <v>59281</v>
      </c>
      <c r="G91">
        <f>Table1345[[#This Row],[Column2]]-Table1345[[#This Row],[Column1]]</f>
        <v>34.000000000007276</v>
      </c>
    </row>
    <row r="92" spans="1:8" x14ac:dyDescent="0.35">
      <c r="A92" s="2">
        <v>227</v>
      </c>
      <c r="B92" t="s">
        <v>247</v>
      </c>
      <c r="C92" s="13">
        <v>0.68612268518518515</v>
      </c>
      <c r="D92" s="13">
        <v>0.68746527777777777</v>
      </c>
      <c r="E92">
        <f>Table1345[[#This Row],[START]]*86400</f>
        <v>59281</v>
      </c>
      <c r="F92">
        <f>Table1345[[#This Row],[END]]*86400</f>
        <v>59397</v>
      </c>
      <c r="G92">
        <f>Table1345[[#This Row],[Column2]]-Table1345[[#This Row],[Column1]]</f>
        <v>116</v>
      </c>
      <c r="H92" t="s">
        <v>484</v>
      </c>
    </row>
    <row r="93" spans="1:8" x14ac:dyDescent="0.35">
      <c r="A93" s="2">
        <v>228</v>
      </c>
      <c r="B93" t="s">
        <v>248</v>
      </c>
      <c r="C93" s="13">
        <v>0.68876157407407412</v>
      </c>
      <c r="D93" s="13">
        <v>0.68917824074074074</v>
      </c>
      <c r="E93">
        <f>Table1345[[#This Row],[START]]*86400</f>
        <v>59509.000000000007</v>
      </c>
      <c r="F93">
        <f>Table1345[[#This Row],[END]]*86400</f>
        <v>59545</v>
      </c>
      <c r="G93">
        <f>Table1345[[#This Row],[Column2]]-Table1345[[#This Row],[Column1]]</f>
        <v>35.999999999992724</v>
      </c>
    </row>
    <row r="94" spans="1:8" x14ac:dyDescent="0.35">
      <c r="A94" s="2">
        <v>229</v>
      </c>
      <c r="B94" t="s">
        <v>249</v>
      </c>
      <c r="C94" s="13">
        <v>0.68917824074074074</v>
      </c>
      <c r="D94" s="13">
        <v>0.68953703703703706</v>
      </c>
      <c r="E94">
        <f>Table1345[[#This Row],[START]]*86400</f>
        <v>59545</v>
      </c>
      <c r="F94">
        <f>Table1345[[#This Row],[END]]*86400</f>
        <v>59576</v>
      </c>
      <c r="G94">
        <f>Table1345[[#This Row],[Column2]]-Table1345[[#This Row],[Column1]]</f>
        <v>31</v>
      </c>
    </row>
    <row r="95" spans="1:8" x14ac:dyDescent="0.35">
      <c r="A95" s="2">
        <v>230</v>
      </c>
      <c r="B95" t="s">
        <v>250</v>
      </c>
      <c r="C95" s="13">
        <v>0.68953703703703706</v>
      </c>
      <c r="D95" s="13">
        <v>0.69008101851851855</v>
      </c>
      <c r="E95">
        <f>Table1345[[#This Row],[START]]*86400</f>
        <v>59576</v>
      </c>
      <c r="F95">
        <f>Table1345[[#This Row],[END]]*86400</f>
        <v>59623</v>
      </c>
      <c r="G95">
        <f>Table1345[[#This Row],[Column2]]-Table1345[[#This Row],[Column1]]</f>
        <v>47</v>
      </c>
      <c r="H95" t="s">
        <v>519</v>
      </c>
    </row>
    <row r="96" spans="1:8" x14ac:dyDescent="0.35">
      <c r="A96" s="2">
        <v>231</v>
      </c>
      <c r="B96" t="s">
        <v>251</v>
      </c>
      <c r="C96" s="13">
        <v>0.69008101851851855</v>
      </c>
      <c r="D96" s="13">
        <v>0.69035879629629626</v>
      </c>
      <c r="E96">
        <f>Table1345[[#This Row],[START]]*86400</f>
        <v>59623</v>
      </c>
      <c r="F96">
        <f>Table1345[[#This Row],[END]]*86400</f>
        <v>59647</v>
      </c>
      <c r="G96">
        <f>Table1345[[#This Row],[Column2]]-Table1345[[#This Row],[Column1]]</f>
        <v>24</v>
      </c>
    </row>
    <row r="97" spans="1:8" x14ac:dyDescent="0.35">
      <c r="A97" s="2">
        <v>232</v>
      </c>
      <c r="B97" t="s">
        <v>252</v>
      </c>
      <c r="C97" s="13">
        <v>0.69035879629629626</v>
      </c>
      <c r="D97" s="13">
        <v>0.69067129629629631</v>
      </c>
      <c r="E97">
        <f>Table1345[[#This Row],[START]]*86400</f>
        <v>59647</v>
      </c>
      <c r="F97">
        <f>Table1345[[#This Row],[END]]*86400</f>
        <v>59674</v>
      </c>
      <c r="G97">
        <f>Table1345[[#This Row],[Column2]]-Table1345[[#This Row],[Column1]]</f>
        <v>27</v>
      </c>
    </row>
    <row r="98" spans="1:8" x14ac:dyDescent="0.35">
      <c r="A98" s="2">
        <v>233</v>
      </c>
      <c r="B98" t="s">
        <v>253</v>
      </c>
      <c r="C98" s="13">
        <v>0.69067129629629631</v>
      </c>
      <c r="D98" s="13">
        <v>0.6909953703703704</v>
      </c>
      <c r="E98">
        <f>Table1345[[#This Row],[START]]*86400</f>
        <v>59674</v>
      </c>
      <c r="F98">
        <f>Table1345[[#This Row],[END]]*86400</f>
        <v>59702</v>
      </c>
      <c r="G98">
        <f>Table1345[[#This Row],[Column2]]-Table1345[[#This Row],[Column1]]</f>
        <v>28</v>
      </c>
    </row>
    <row r="99" spans="1:8" x14ac:dyDescent="0.35">
      <c r="A99" s="2">
        <v>234</v>
      </c>
      <c r="B99" t="s">
        <v>254</v>
      </c>
      <c r="C99" s="13">
        <v>0.6909953703703704</v>
      </c>
      <c r="D99" s="13">
        <v>0.69130787037037034</v>
      </c>
      <c r="E99">
        <f>Table1345[[#This Row],[START]]*86400</f>
        <v>59702</v>
      </c>
      <c r="F99">
        <f>Table1345[[#This Row],[END]]*86400</f>
        <v>59729</v>
      </c>
      <c r="G99">
        <f>Table1345[[#This Row],[Column2]]-Table1345[[#This Row],[Column1]]</f>
        <v>27</v>
      </c>
    </row>
    <row r="100" spans="1:8" x14ac:dyDescent="0.35">
      <c r="A100" s="2">
        <v>235</v>
      </c>
      <c r="B100" t="s">
        <v>255</v>
      </c>
      <c r="C100" s="13">
        <v>0.69204861111111116</v>
      </c>
      <c r="D100" s="13">
        <v>0.69254629629629627</v>
      </c>
      <c r="E100">
        <f>Table1345[[#This Row],[START]]*86400</f>
        <v>59793.000000000007</v>
      </c>
      <c r="F100">
        <f>Table1345[[#This Row],[END]]*86400</f>
        <v>59836</v>
      </c>
      <c r="G100">
        <f>Table1345[[#This Row],[Column2]]-Table1345[[#This Row],[Column1]]</f>
        <v>42.999999999992724</v>
      </c>
    </row>
    <row r="101" spans="1:8" x14ac:dyDescent="0.35">
      <c r="A101" s="2">
        <v>236</v>
      </c>
      <c r="B101" t="s">
        <v>256</v>
      </c>
      <c r="C101" s="13">
        <v>0.69254629629629627</v>
      </c>
      <c r="D101" s="13">
        <v>0.69317129629629626</v>
      </c>
      <c r="E101">
        <f>Table1345[[#This Row],[START]]*86400</f>
        <v>59836</v>
      </c>
      <c r="F101">
        <f>Table1345[[#This Row],[END]]*86400</f>
        <v>59890</v>
      </c>
      <c r="G101">
        <f>Table1345[[#This Row],[Column2]]-Table1345[[#This Row],[Column1]]</f>
        <v>54</v>
      </c>
    </row>
    <row r="102" spans="1:8" x14ac:dyDescent="0.35">
      <c r="A102" s="2">
        <v>237</v>
      </c>
      <c r="B102" t="s">
        <v>257</v>
      </c>
      <c r="C102" s="13">
        <v>0.69317129629629626</v>
      </c>
      <c r="D102" s="13">
        <v>0.69355324074074076</v>
      </c>
      <c r="E102">
        <f>Table1345[[#This Row],[START]]*86400</f>
        <v>59890</v>
      </c>
      <c r="F102">
        <f>Table1345[[#This Row],[END]]*86400</f>
        <v>59923</v>
      </c>
      <c r="G102">
        <f>Table1345[[#This Row],[Column2]]-Table1345[[#This Row],[Column1]]</f>
        <v>33</v>
      </c>
    </row>
    <row r="103" spans="1:8" x14ac:dyDescent="0.35">
      <c r="A103" s="2">
        <v>238</v>
      </c>
      <c r="B103" t="s">
        <v>258</v>
      </c>
      <c r="C103" s="13">
        <v>0.69355324074074076</v>
      </c>
      <c r="D103" s="13">
        <v>0.69392361111111112</v>
      </c>
      <c r="E103">
        <f>Table1345[[#This Row],[START]]*86400</f>
        <v>59923</v>
      </c>
      <c r="F103">
        <f>Table1345[[#This Row],[END]]*86400</f>
        <v>59955</v>
      </c>
      <c r="G103">
        <f>Table1345[[#This Row],[Column2]]-Table1345[[#This Row],[Column1]]</f>
        <v>32</v>
      </c>
    </row>
    <row r="104" spans="1:8" x14ac:dyDescent="0.35">
      <c r="A104" s="2">
        <v>239</v>
      </c>
      <c r="B104" t="s">
        <v>259</v>
      </c>
      <c r="C104" s="13">
        <v>0.69392361111111112</v>
      </c>
      <c r="D104" s="13">
        <v>0.69439814814814815</v>
      </c>
      <c r="E104">
        <f>Table1345[[#This Row],[START]]*86400</f>
        <v>59955</v>
      </c>
      <c r="F104">
        <f>Table1345[[#This Row],[END]]*86400</f>
        <v>59996</v>
      </c>
      <c r="G104">
        <f>Table1345[[#This Row],[Column2]]-Table1345[[#This Row],[Column1]]</f>
        <v>41</v>
      </c>
      <c r="H104" t="s">
        <v>519</v>
      </c>
    </row>
    <row r="105" spans="1:8" x14ac:dyDescent="0.35">
      <c r="A105" s="2">
        <v>240</v>
      </c>
      <c r="B105" t="s">
        <v>260</v>
      </c>
      <c r="C105" s="13">
        <v>0.69439814814814815</v>
      </c>
      <c r="D105" s="13">
        <v>0.69482638888888892</v>
      </c>
      <c r="E105">
        <f>Table1345[[#This Row],[START]]*86400</f>
        <v>59996</v>
      </c>
      <c r="F105">
        <f>Table1345[[#This Row],[END]]*86400</f>
        <v>60033</v>
      </c>
      <c r="G105">
        <f>Table1345[[#This Row],[Column2]]-Table1345[[#This Row],[Column1]]</f>
        <v>37</v>
      </c>
    </row>
    <row r="106" spans="1:8" x14ac:dyDescent="0.35">
      <c r="A106" s="2">
        <v>241</v>
      </c>
      <c r="B106" t="s">
        <v>261</v>
      </c>
      <c r="C106" s="13">
        <v>0.69482638888888892</v>
      </c>
      <c r="D106" s="13">
        <v>0.69512731481481482</v>
      </c>
      <c r="E106">
        <f>Table1345[[#This Row],[START]]*86400</f>
        <v>60033</v>
      </c>
      <c r="F106">
        <f>Table1345[[#This Row],[END]]*86400</f>
        <v>60059</v>
      </c>
      <c r="G106">
        <f>Table1345[[#This Row],[Column2]]-Table1345[[#This Row],[Column1]]</f>
        <v>26</v>
      </c>
    </row>
    <row r="107" spans="1:8" x14ac:dyDescent="0.35">
      <c r="A107" s="2">
        <v>242</v>
      </c>
      <c r="B107" t="s">
        <v>262</v>
      </c>
      <c r="C107" s="13">
        <v>0.69512731481481482</v>
      </c>
      <c r="D107" s="13">
        <v>0.69545138888888891</v>
      </c>
      <c r="E107">
        <f>Table1345[[#This Row],[START]]*86400</f>
        <v>60059</v>
      </c>
      <c r="F107">
        <f>Table1345[[#This Row],[END]]*86400</f>
        <v>60087</v>
      </c>
      <c r="G107">
        <f>Table1345[[#This Row],[Column2]]-Table1345[[#This Row],[Column1]]</f>
        <v>28</v>
      </c>
    </row>
    <row r="108" spans="1:8" x14ac:dyDescent="0.35">
      <c r="A108" s="2">
        <v>243</v>
      </c>
      <c r="B108" t="s">
        <v>263</v>
      </c>
      <c r="C108" s="13">
        <v>0.69596064814814818</v>
      </c>
      <c r="D108" s="13">
        <v>0.69640046296296299</v>
      </c>
      <c r="E108">
        <f>Table1345[[#This Row],[START]]*86400</f>
        <v>60131</v>
      </c>
      <c r="F108">
        <f>Table1345[[#This Row],[END]]*86400</f>
        <v>60169</v>
      </c>
      <c r="G108">
        <f>Table1345[[#This Row],[Column2]]-Table1345[[#This Row],[Column1]]</f>
        <v>38</v>
      </c>
    </row>
    <row r="109" spans="1:8" x14ac:dyDescent="0.35">
      <c r="A109" s="2">
        <v>244</v>
      </c>
      <c r="B109" t="s">
        <v>264</v>
      </c>
      <c r="C109" s="13">
        <v>0.69640046296296299</v>
      </c>
      <c r="D109" s="13">
        <v>0.69681712962962961</v>
      </c>
      <c r="E109">
        <f>Table1345[[#This Row],[START]]*86400</f>
        <v>60169</v>
      </c>
      <c r="F109">
        <f>Table1345[[#This Row],[END]]*86400</f>
        <v>60205</v>
      </c>
      <c r="G109">
        <f>Table1345[[#This Row],[Column2]]-Table1345[[#This Row],[Column1]]</f>
        <v>36</v>
      </c>
    </row>
    <row r="110" spans="1:8" x14ac:dyDescent="0.35">
      <c r="A110" s="2">
        <v>245</v>
      </c>
      <c r="B110" t="s">
        <v>265</v>
      </c>
      <c r="C110" s="13">
        <v>0.69681712962962961</v>
      </c>
      <c r="D110" s="13">
        <v>0.69719907407407411</v>
      </c>
      <c r="E110">
        <f>Table1345[[#This Row],[START]]*86400</f>
        <v>60205</v>
      </c>
      <c r="F110">
        <f>Table1345[[#This Row],[END]]*86400</f>
        <v>60238</v>
      </c>
      <c r="G110">
        <f>Table1345[[#This Row],[Column2]]-Table1345[[#This Row],[Column1]]</f>
        <v>33</v>
      </c>
    </row>
    <row r="111" spans="1:8" x14ac:dyDescent="0.35">
      <c r="A111" s="2">
        <v>246</v>
      </c>
      <c r="B111" t="s">
        <v>266</v>
      </c>
      <c r="C111" s="13">
        <v>0.69719907407407411</v>
      </c>
      <c r="D111" s="13">
        <v>0.69759259259259254</v>
      </c>
      <c r="E111">
        <f>Table1345[[#This Row],[START]]*86400</f>
        <v>60238</v>
      </c>
      <c r="F111">
        <f>Table1345[[#This Row],[END]]*86400</f>
        <v>60271.999999999993</v>
      </c>
      <c r="G111">
        <f>Table1345[[#This Row],[Column2]]-Table1345[[#This Row],[Column1]]</f>
        <v>33.999999999992724</v>
      </c>
    </row>
    <row r="112" spans="1:8" x14ac:dyDescent="0.35">
      <c r="A112" s="2">
        <v>247</v>
      </c>
      <c r="B112" t="s">
        <v>267</v>
      </c>
      <c r="C112" s="13">
        <v>0.69759259259259254</v>
      </c>
      <c r="D112" s="13">
        <v>0.69797453703703705</v>
      </c>
      <c r="E112">
        <f>Table1345[[#This Row],[START]]*86400</f>
        <v>60271.999999999993</v>
      </c>
      <c r="F112">
        <f>Table1345[[#This Row],[END]]*86400</f>
        <v>60305</v>
      </c>
      <c r="G112">
        <f>Table1345[[#This Row],[Column2]]-Table1345[[#This Row],[Column1]]</f>
        <v>33.000000000007276</v>
      </c>
    </row>
    <row r="113" spans="1:8" x14ac:dyDescent="0.35">
      <c r="A113" s="2">
        <v>248</v>
      </c>
      <c r="B113" t="s">
        <v>268</v>
      </c>
      <c r="C113" s="13">
        <v>0.69797453703703705</v>
      </c>
      <c r="D113" s="13">
        <v>0.69835648148148144</v>
      </c>
      <c r="E113">
        <f>Table1345[[#This Row],[START]]*86400</f>
        <v>60305</v>
      </c>
      <c r="F113">
        <f>Table1345[[#This Row],[END]]*86400</f>
        <v>60337.999999999993</v>
      </c>
      <c r="G113">
        <f>Table1345[[#This Row],[Column2]]-Table1345[[#This Row],[Column1]]</f>
        <v>32.999999999992724</v>
      </c>
    </row>
    <row r="114" spans="1:8" x14ac:dyDescent="0.35">
      <c r="A114" s="2">
        <v>249</v>
      </c>
      <c r="B114" t="s">
        <v>269</v>
      </c>
      <c r="C114" s="13">
        <v>0.69835648148148144</v>
      </c>
      <c r="D114" s="13">
        <v>0.6988078703703704</v>
      </c>
      <c r="E114">
        <f>Table1345[[#This Row],[START]]*86400</f>
        <v>60337.999999999993</v>
      </c>
      <c r="F114">
        <f>Table1345[[#This Row],[END]]*86400</f>
        <v>60377</v>
      </c>
      <c r="G114">
        <f>Table1345[[#This Row],[Column2]]-Table1345[[#This Row],[Column1]]</f>
        <v>39.000000000007276</v>
      </c>
    </row>
    <row r="115" spans="1:8" x14ac:dyDescent="0.35">
      <c r="A115" s="2">
        <v>250</v>
      </c>
      <c r="B115" t="s">
        <v>270</v>
      </c>
      <c r="C115" s="13">
        <v>0.6988078703703704</v>
      </c>
      <c r="D115" s="13">
        <v>0.69921296296296298</v>
      </c>
      <c r="E115">
        <f>Table1345[[#This Row],[START]]*86400</f>
        <v>60377</v>
      </c>
      <c r="F115">
        <f>Table1345[[#This Row],[END]]*86400</f>
        <v>60412</v>
      </c>
      <c r="G115">
        <f>Table1345[[#This Row],[Column2]]-Table1345[[#This Row],[Column1]]</f>
        <v>35</v>
      </c>
    </row>
    <row r="116" spans="1:8" x14ac:dyDescent="0.35">
      <c r="A116" s="2">
        <v>251</v>
      </c>
      <c r="B116" t="s">
        <v>271</v>
      </c>
      <c r="C116" s="13">
        <v>0.69921296296296298</v>
      </c>
      <c r="D116" s="13">
        <v>0.69961805555555556</v>
      </c>
      <c r="E116">
        <f>Table1345[[#This Row],[START]]*86400</f>
        <v>60412</v>
      </c>
      <c r="F116">
        <f>Table1345[[#This Row],[END]]*86400</f>
        <v>60447</v>
      </c>
      <c r="G116">
        <f>Table1345[[#This Row],[Column2]]-Table1345[[#This Row],[Column1]]</f>
        <v>35</v>
      </c>
    </row>
    <row r="117" spans="1:8" x14ac:dyDescent="0.35">
      <c r="A117" s="2">
        <v>252</v>
      </c>
      <c r="B117" t="s">
        <v>272</v>
      </c>
      <c r="C117" s="13">
        <v>0.69961805555555556</v>
      </c>
      <c r="D117" s="13">
        <v>0.70003472222222218</v>
      </c>
      <c r="E117">
        <f>Table1345[[#This Row],[START]]*86400</f>
        <v>60447</v>
      </c>
      <c r="F117">
        <f>Table1345[[#This Row],[END]]*86400</f>
        <v>60483</v>
      </c>
      <c r="G117">
        <f>Table1345[[#This Row],[Column2]]-Table1345[[#This Row],[Column1]]</f>
        <v>36</v>
      </c>
    </row>
    <row r="118" spans="1:8" x14ac:dyDescent="0.35">
      <c r="A118" s="2">
        <v>253</v>
      </c>
      <c r="B118" t="s">
        <v>273</v>
      </c>
      <c r="C118" s="13">
        <v>0.70003472222222218</v>
      </c>
      <c r="D118" s="13">
        <v>0.70045138888888892</v>
      </c>
      <c r="E118">
        <f>Table1345[[#This Row],[START]]*86400</f>
        <v>60483</v>
      </c>
      <c r="F118">
        <f>Table1345[[#This Row],[END]]*86400</f>
        <v>60519</v>
      </c>
      <c r="G118">
        <f>Table1345[[#This Row],[Column2]]-Table1345[[#This Row],[Column1]]</f>
        <v>36</v>
      </c>
    </row>
    <row r="119" spans="1:8" x14ac:dyDescent="0.35">
      <c r="A119" s="2">
        <v>254</v>
      </c>
      <c r="B119" t="s">
        <v>274</v>
      </c>
      <c r="C119" s="13">
        <v>0.70045138888888892</v>
      </c>
      <c r="D119" s="13">
        <v>0.7008564814814815</v>
      </c>
      <c r="E119">
        <f>Table1345[[#This Row],[START]]*86400</f>
        <v>60519</v>
      </c>
      <c r="F119">
        <f>Table1345[[#This Row],[END]]*86400</f>
        <v>60554</v>
      </c>
      <c r="G119">
        <f>Table1345[[#This Row],[Column2]]-Table1345[[#This Row],[Column1]]</f>
        <v>35</v>
      </c>
    </row>
    <row r="120" spans="1:8" x14ac:dyDescent="0.35">
      <c r="A120" s="2">
        <v>255</v>
      </c>
      <c r="B120" t="s">
        <v>275</v>
      </c>
      <c r="C120" s="13">
        <v>0.7008564814814815</v>
      </c>
      <c r="D120" s="13">
        <v>0.70130787037037035</v>
      </c>
      <c r="E120">
        <f>Table1345[[#This Row],[START]]*86400</f>
        <v>60554</v>
      </c>
      <c r="F120">
        <f>Table1345[[#This Row],[END]]*86400</f>
        <v>60593</v>
      </c>
      <c r="G120">
        <f>Table1345[[#This Row],[Column2]]-Table1345[[#This Row],[Column1]]</f>
        <v>39</v>
      </c>
    </row>
    <row r="121" spans="1:8" x14ac:dyDescent="0.35">
      <c r="A121" s="2">
        <v>256</v>
      </c>
      <c r="B121" t="s">
        <v>276</v>
      </c>
      <c r="C121" s="13">
        <v>0.70130787037037035</v>
      </c>
      <c r="D121" s="13">
        <v>0.70172453703703708</v>
      </c>
      <c r="E121">
        <f>Table1345[[#This Row],[START]]*86400</f>
        <v>60593</v>
      </c>
      <c r="F121">
        <f>Table1345[[#This Row],[END]]*86400</f>
        <v>60629</v>
      </c>
      <c r="G121">
        <f>Table1345[[#This Row],[Column2]]-Table1345[[#This Row],[Column1]]</f>
        <v>36</v>
      </c>
    </row>
    <row r="122" spans="1:8" x14ac:dyDescent="0.35">
      <c r="A122" s="2">
        <v>257</v>
      </c>
      <c r="B122" t="s">
        <v>277</v>
      </c>
      <c r="C122" s="13">
        <v>0.70172453703703708</v>
      </c>
      <c r="D122" s="13">
        <v>0.70229166666666665</v>
      </c>
      <c r="E122">
        <f>Table1345[[#This Row],[START]]*86400</f>
        <v>60629</v>
      </c>
      <c r="F122">
        <f>Table1345[[#This Row],[END]]*86400</f>
        <v>60678</v>
      </c>
      <c r="G122">
        <f>Table1345[[#This Row],[Column2]]-Table1345[[#This Row],[Column1]]</f>
        <v>49</v>
      </c>
      <c r="H122" t="s">
        <v>519</v>
      </c>
    </row>
    <row r="123" spans="1:8" x14ac:dyDescent="0.35">
      <c r="A123" s="2">
        <v>258</v>
      </c>
      <c r="B123" t="s">
        <v>278</v>
      </c>
      <c r="C123" s="13">
        <v>0.70339120370370367</v>
      </c>
      <c r="D123" s="13">
        <v>0.70376157407407403</v>
      </c>
      <c r="E123">
        <f>Table1345[[#This Row],[START]]*86400</f>
        <v>60773</v>
      </c>
      <c r="F123">
        <f>Table1345[[#This Row],[END]]*86400</f>
        <v>60804.999999999993</v>
      </c>
      <c r="G123">
        <f>Table1345[[#This Row],[Column2]]-Table1345[[#This Row],[Column1]]</f>
        <v>31.999999999992724</v>
      </c>
    </row>
    <row r="124" spans="1:8" x14ac:dyDescent="0.35">
      <c r="A124" s="2">
        <v>259</v>
      </c>
      <c r="B124" t="s">
        <v>279</v>
      </c>
      <c r="C124" s="13">
        <v>0.70376157407407403</v>
      </c>
      <c r="D124" s="13">
        <v>0.7041087962962963</v>
      </c>
      <c r="E124">
        <f>Table1345[[#This Row],[START]]*86400</f>
        <v>60804.999999999993</v>
      </c>
      <c r="F124">
        <f>Table1345[[#This Row],[END]]*86400</f>
        <v>60835</v>
      </c>
      <c r="G124">
        <f>Table1345[[#This Row],[Column2]]-Table1345[[#This Row],[Column1]]</f>
        <v>30.000000000007276</v>
      </c>
    </row>
    <row r="125" spans="1:8" x14ac:dyDescent="0.35">
      <c r="A125" s="2">
        <v>260</v>
      </c>
      <c r="B125" t="s">
        <v>280</v>
      </c>
      <c r="C125" s="13">
        <v>0.7041087962962963</v>
      </c>
      <c r="D125" s="13">
        <v>0.70447916666666666</v>
      </c>
      <c r="E125">
        <f>Table1345[[#This Row],[START]]*86400</f>
        <v>60835</v>
      </c>
      <c r="F125">
        <f>Table1345[[#This Row],[END]]*86400</f>
        <v>60867</v>
      </c>
      <c r="G125">
        <f>Table1345[[#This Row],[Column2]]-Table1345[[#This Row],[Column1]]</f>
        <v>32</v>
      </c>
    </row>
    <row r="126" spans="1:8" x14ac:dyDescent="0.35">
      <c r="A126" s="2">
        <v>261</v>
      </c>
      <c r="B126" t="s">
        <v>281</v>
      </c>
      <c r="C126" s="13">
        <v>0.70447916666666666</v>
      </c>
      <c r="D126" s="13">
        <v>0.7048726851851852</v>
      </c>
      <c r="E126">
        <f>Table1345[[#This Row],[START]]*86400</f>
        <v>60867</v>
      </c>
      <c r="F126">
        <f>Table1345[[#This Row],[END]]*86400</f>
        <v>60901</v>
      </c>
      <c r="G126">
        <f>Table1345[[#This Row],[Column2]]-Table1345[[#This Row],[Column1]]</f>
        <v>34</v>
      </c>
    </row>
    <row r="127" spans="1:8" x14ac:dyDescent="0.35">
      <c r="A127" s="2">
        <v>262</v>
      </c>
      <c r="B127" t="s">
        <v>282</v>
      </c>
      <c r="C127" s="13">
        <v>0.7048726851851852</v>
      </c>
      <c r="D127" s="13">
        <v>0.70526620370370374</v>
      </c>
      <c r="E127">
        <f>Table1345[[#This Row],[START]]*86400</f>
        <v>60901</v>
      </c>
      <c r="F127">
        <f>Table1345[[#This Row],[END]]*86400</f>
        <v>60935</v>
      </c>
      <c r="G127">
        <f>Table1345[[#This Row],[Column2]]-Table1345[[#This Row],[Column1]]</f>
        <v>34</v>
      </c>
    </row>
    <row r="128" spans="1:8" x14ac:dyDescent="0.35">
      <c r="A128" s="2">
        <v>263</v>
      </c>
      <c r="B128" t="s">
        <v>283</v>
      </c>
      <c r="C128" s="13">
        <v>0.70526620370370374</v>
      </c>
      <c r="D128" s="13">
        <v>0.70564814814814814</v>
      </c>
      <c r="E128">
        <f>Table1345[[#This Row],[START]]*86400</f>
        <v>60935</v>
      </c>
      <c r="F128">
        <f>Table1345[[#This Row],[END]]*86400</f>
        <v>60968</v>
      </c>
      <c r="G128">
        <f>Table1345[[#This Row],[Column2]]-Table1345[[#This Row],[Column1]]</f>
        <v>33</v>
      </c>
    </row>
    <row r="129" spans="1:8" x14ac:dyDescent="0.35">
      <c r="A129" s="2">
        <v>264</v>
      </c>
      <c r="B129" t="s">
        <v>284</v>
      </c>
      <c r="C129" s="13">
        <v>0.70564814814814814</v>
      </c>
      <c r="D129" s="13">
        <v>0.70605324074074072</v>
      </c>
      <c r="E129">
        <f>Table1345[[#This Row],[START]]*86400</f>
        <v>60968</v>
      </c>
      <c r="F129">
        <f>Table1345[[#This Row],[END]]*86400</f>
        <v>61003</v>
      </c>
      <c r="G129">
        <f>Table1345[[#This Row],[Column2]]-Table1345[[#This Row],[Column1]]</f>
        <v>35</v>
      </c>
    </row>
    <row r="130" spans="1:8" x14ac:dyDescent="0.35">
      <c r="A130" s="2">
        <v>265</v>
      </c>
      <c r="B130" t="s">
        <v>285</v>
      </c>
      <c r="C130" s="13">
        <v>0.70605324074074072</v>
      </c>
      <c r="D130" s="13">
        <v>0.7066782407407407</v>
      </c>
      <c r="E130">
        <f>Table1345[[#This Row],[START]]*86400</f>
        <v>61003</v>
      </c>
      <c r="F130">
        <f>Table1345[[#This Row],[END]]*86400</f>
        <v>61057</v>
      </c>
      <c r="G130">
        <f>Table1345[[#This Row],[Column2]]-Table1345[[#This Row],[Column1]]</f>
        <v>54</v>
      </c>
      <c r="H130" t="s">
        <v>484</v>
      </c>
    </row>
    <row r="131" spans="1:8" x14ac:dyDescent="0.35">
      <c r="A131" s="2">
        <v>266</v>
      </c>
      <c r="B131" t="s">
        <v>286</v>
      </c>
      <c r="C131" s="13">
        <v>0.7066782407407407</v>
      </c>
      <c r="D131" s="13">
        <v>0.70706018518518521</v>
      </c>
      <c r="E131">
        <f>Table1345[[#This Row],[START]]*86400</f>
        <v>61057</v>
      </c>
      <c r="F131">
        <f>Table1345[[#This Row],[END]]*86400</f>
        <v>61090</v>
      </c>
      <c r="G131">
        <f>Table1345[[#This Row],[Column2]]-Table1345[[#This Row],[Column1]]</f>
        <v>33</v>
      </c>
    </row>
    <row r="132" spans="1:8" x14ac:dyDescent="0.35">
      <c r="A132" s="2">
        <v>267</v>
      </c>
      <c r="B132" t="s">
        <v>287</v>
      </c>
      <c r="C132" s="13">
        <v>0.70706018518518521</v>
      </c>
      <c r="D132" s="13">
        <v>0.70748842592592598</v>
      </c>
      <c r="E132">
        <f>Table1345[[#This Row],[START]]*86400</f>
        <v>61090</v>
      </c>
      <c r="F132">
        <f>Table1345[[#This Row],[END]]*86400</f>
        <v>61127.000000000007</v>
      </c>
      <c r="G132">
        <f>Table1345[[#This Row],[Column2]]-Table1345[[#This Row],[Column1]]</f>
        <v>37.000000000007276</v>
      </c>
    </row>
    <row r="133" spans="1:8" x14ac:dyDescent="0.35">
      <c r="A133" s="2">
        <v>268</v>
      </c>
      <c r="B133" t="s">
        <v>288</v>
      </c>
      <c r="C133" s="13">
        <v>0.70748842592592598</v>
      </c>
      <c r="D133" s="13">
        <v>0.7079050925925926</v>
      </c>
      <c r="E133">
        <f>Table1345[[#This Row],[START]]*86400</f>
        <v>61127.000000000007</v>
      </c>
      <c r="F133">
        <f>Table1345[[#This Row],[END]]*86400</f>
        <v>61163</v>
      </c>
      <c r="G133">
        <f>Table1345[[#This Row],[Column2]]-Table1345[[#This Row],[Column1]]</f>
        <v>35.999999999992724</v>
      </c>
    </row>
    <row r="134" spans="1:8" x14ac:dyDescent="0.35">
      <c r="A134" s="2">
        <v>269</v>
      </c>
      <c r="B134" t="s">
        <v>289</v>
      </c>
      <c r="C134" s="13">
        <v>0.7079050925925926</v>
      </c>
      <c r="D134" s="13">
        <v>0.70832175925925922</v>
      </c>
      <c r="E134">
        <f>Table1345[[#This Row],[START]]*86400</f>
        <v>61163</v>
      </c>
      <c r="F134">
        <f>Table1345[[#This Row],[END]]*86400</f>
        <v>61199</v>
      </c>
      <c r="G134">
        <f>Table1345[[#This Row],[Column2]]-Table1345[[#This Row],[Column1]]</f>
        <v>36</v>
      </c>
    </row>
    <row r="135" spans="1:8" x14ac:dyDescent="0.35">
      <c r="A135" s="2">
        <v>270</v>
      </c>
      <c r="B135" t="s">
        <v>290</v>
      </c>
      <c r="C135" s="13">
        <v>0.70832175925925922</v>
      </c>
      <c r="D135" s="13">
        <v>0.70886574074074071</v>
      </c>
      <c r="E135">
        <f>Table1345[[#This Row],[START]]*86400</f>
        <v>61199</v>
      </c>
      <c r="F135">
        <f>Table1345[[#This Row],[END]]*86400</f>
        <v>61246</v>
      </c>
      <c r="G135">
        <f>Table1345[[#This Row],[Column2]]-Table1345[[#This Row],[Column1]]</f>
        <v>47</v>
      </c>
    </row>
    <row r="136" spans="1:8" x14ac:dyDescent="0.35">
      <c r="A136" s="2">
        <v>271</v>
      </c>
      <c r="B136" t="s">
        <v>291</v>
      </c>
      <c r="C136" s="13">
        <v>0.70886574074074071</v>
      </c>
      <c r="D136" s="13">
        <v>0.70930555555555552</v>
      </c>
      <c r="E136">
        <f>Table1345[[#This Row],[START]]*86400</f>
        <v>61246</v>
      </c>
      <c r="F136">
        <f>Table1345[[#This Row],[END]]*86400</f>
        <v>61284</v>
      </c>
      <c r="G136">
        <f>Table1345[[#This Row],[Column2]]-Table1345[[#This Row],[Column1]]</f>
        <v>38</v>
      </c>
    </row>
    <row r="137" spans="1:8" x14ac:dyDescent="0.35">
      <c r="A137" s="2">
        <v>272</v>
      </c>
      <c r="B137" t="s">
        <v>292</v>
      </c>
      <c r="C137" s="13">
        <v>0.70930555555555552</v>
      </c>
      <c r="D137" s="13">
        <v>0.70973379629629629</v>
      </c>
      <c r="E137">
        <f>Table1345[[#This Row],[START]]*86400</f>
        <v>61284</v>
      </c>
      <c r="F137">
        <f>Table1345[[#This Row],[END]]*86400</f>
        <v>61321</v>
      </c>
      <c r="G137">
        <f>Table1345[[#This Row],[Column2]]-Table1345[[#This Row],[Column1]]</f>
        <v>37</v>
      </c>
    </row>
    <row r="138" spans="1:8" x14ac:dyDescent="0.35">
      <c r="A138" s="2">
        <v>273</v>
      </c>
      <c r="B138" t="s">
        <v>293</v>
      </c>
      <c r="C138" s="13">
        <v>0.70973379629629629</v>
      </c>
      <c r="D138" s="13">
        <v>0.71018518518518514</v>
      </c>
      <c r="E138">
        <f>Table1345[[#This Row],[START]]*86400</f>
        <v>61321</v>
      </c>
      <c r="F138">
        <f>Table1345[[#This Row],[END]]*86400</f>
        <v>61359.999999999993</v>
      </c>
      <c r="G138">
        <f>Table1345[[#This Row],[Column2]]-Table1345[[#This Row],[Column1]]</f>
        <v>38.999999999992724</v>
      </c>
    </row>
    <row r="139" spans="1:8" x14ac:dyDescent="0.35">
      <c r="A139" s="2">
        <v>274</v>
      </c>
      <c r="B139" s="2"/>
      <c r="C139" s="18"/>
      <c r="D139" s="18"/>
      <c r="E139" s="17">
        <f>Table1345[[#This Row],[START]]*86400</f>
        <v>0</v>
      </c>
      <c r="F139" s="17">
        <f>Table1345[[#This Row],[END]]*86400</f>
        <v>0</v>
      </c>
      <c r="G139" s="17">
        <f>Table1345[[#This Row],[Column2]]-Table1345[[#This Row],[Column1]]</f>
        <v>0</v>
      </c>
      <c r="H139" t="s">
        <v>484</v>
      </c>
    </row>
    <row r="140" spans="1:8" x14ac:dyDescent="0.35">
      <c r="A140" s="2">
        <v>275</v>
      </c>
      <c r="B140" t="s">
        <v>295</v>
      </c>
      <c r="C140" s="13">
        <v>0.71079861111111109</v>
      </c>
      <c r="D140" s="13">
        <v>0.71174768518518516</v>
      </c>
      <c r="E140">
        <f>Table1345[[#This Row],[START]]*86400</f>
        <v>61413</v>
      </c>
      <c r="F140">
        <f>Table1345[[#This Row],[END]]*86400</f>
        <v>61495</v>
      </c>
      <c r="G140">
        <f>Table1345[[#This Row],[Column2]]-Table1345[[#This Row],[Column1]]</f>
        <v>82</v>
      </c>
      <c r="H140" t="s">
        <v>519</v>
      </c>
    </row>
    <row r="141" spans="1:8" x14ac:dyDescent="0.35">
      <c r="A141" s="2">
        <v>276</v>
      </c>
      <c r="B141" t="s">
        <v>296</v>
      </c>
      <c r="C141" s="13">
        <v>0.71174768518518516</v>
      </c>
      <c r="D141" s="13">
        <v>0.71225694444444443</v>
      </c>
      <c r="E141">
        <f>Table1345[[#This Row],[START]]*86400</f>
        <v>61495</v>
      </c>
      <c r="F141">
        <f>Table1345[[#This Row],[END]]*86400</f>
        <v>61539</v>
      </c>
      <c r="G141">
        <f>Table1345[[#This Row],[Column2]]-Table1345[[#This Row],[Column1]]</f>
        <v>44</v>
      </c>
    </row>
    <row r="142" spans="1:8" x14ac:dyDescent="0.35">
      <c r="A142" s="2">
        <v>277</v>
      </c>
      <c r="B142" t="s">
        <v>298</v>
      </c>
      <c r="C142" s="13">
        <v>0.71225694444444443</v>
      </c>
      <c r="D142" s="13">
        <v>0.71255787037037033</v>
      </c>
      <c r="E142">
        <f>Table1345[[#This Row],[START]]*86400</f>
        <v>61539</v>
      </c>
      <c r="F142">
        <f>Table1345[[#This Row],[END]]*86400</f>
        <v>61564.999999999993</v>
      </c>
      <c r="G142">
        <f>Table1345[[#This Row],[Column2]]-Table1345[[#This Row],[Column1]]</f>
        <v>25.999999999992724</v>
      </c>
    </row>
    <row r="143" spans="1:8" x14ac:dyDescent="0.35">
      <c r="B143" s="2"/>
      <c r="C143" s="14"/>
      <c r="D143" s="14"/>
      <c r="G143">
        <f>SUBTOTAL(109,Table1345[total_time])</f>
        <v>5353.9999999999782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1357-80DB-4344-BB0C-B26CC23B432D}">
  <dimension ref="A1:C137"/>
  <sheetViews>
    <sheetView workbookViewId="0">
      <selection activeCell="C137" sqref="A1:C137"/>
    </sheetView>
  </sheetViews>
  <sheetFormatPr defaultRowHeight="14.5" x14ac:dyDescent="0.35"/>
  <cols>
    <col min="2" max="2" width="12.26953125" customWidth="1"/>
  </cols>
  <sheetData>
    <row r="1" spans="1:3" x14ac:dyDescent="0.35">
      <c r="A1" t="s">
        <v>0</v>
      </c>
      <c r="B1" t="s">
        <v>10</v>
      </c>
      <c r="C1" t="s">
        <v>476</v>
      </c>
    </row>
    <row r="2" spans="1:3" x14ac:dyDescent="0.35">
      <c r="A2">
        <v>137</v>
      </c>
      <c r="B2" t="s">
        <v>155</v>
      </c>
      <c r="C2">
        <v>28.000000000007276</v>
      </c>
    </row>
    <row r="3" spans="1:3" x14ac:dyDescent="0.35">
      <c r="A3">
        <v>138</v>
      </c>
      <c r="B3" t="s">
        <v>156</v>
      </c>
      <c r="C3">
        <v>26.000000000007276</v>
      </c>
    </row>
    <row r="4" spans="1:3" x14ac:dyDescent="0.35">
      <c r="A4">
        <v>139</v>
      </c>
      <c r="B4" t="s">
        <v>157</v>
      </c>
      <c r="C4">
        <v>29.999999999992724</v>
      </c>
    </row>
    <row r="5" spans="1:3" x14ac:dyDescent="0.35">
      <c r="A5">
        <v>140</v>
      </c>
      <c r="B5" t="s">
        <v>158</v>
      </c>
      <c r="C5">
        <v>24</v>
      </c>
    </row>
    <row r="6" spans="1:3" x14ac:dyDescent="0.35">
      <c r="A6">
        <v>141</v>
      </c>
      <c r="B6" t="s">
        <v>159</v>
      </c>
      <c r="C6">
        <v>48</v>
      </c>
    </row>
    <row r="7" spans="1:3" x14ac:dyDescent="0.35">
      <c r="A7">
        <v>142</v>
      </c>
      <c r="B7" t="s">
        <v>160</v>
      </c>
      <c r="C7">
        <v>24.000000000007276</v>
      </c>
    </row>
    <row r="8" spans="1:3" x14ac:dyDescent="0.35">
      <c r="A8">
        <v>143</v>
      </c>
      <c r="B8" t="s">
        <v>161</v>
      </c>
      <c r="C8">
        <v>21.999999999985448</v>
      </c>
    </row>
    <row r="9" spans="1:3" x14ac:dyDescent="0.35">
      <c r="A9">
        <v>144</v>
      </c>
      <c r="B9" t="s">
        <v>162</v>
      </c>
      <c r="C9">
        <v>26.000000000007276</v>
      </c>
    </row>
    <row r="10" spans="1:3" x14ac:dyDescent="0.35">
      <c r="A10">
        <v>145</v>
      </c>
      <c r="B10" t="s">
        <v>163</v>
      </c>
      <c r="C10">
        <v>24</v>
      </c>
    </row>
    <row r="11" spans="1:3" x14ac:dyDescent="0.35">
      <c r="A11">
        <v>146</v>
      </c>
      <c r="B11" t="s">
        <v>164</v>
      </c>
      <c r="C11">
        <v>24</v>
      </c>
    </row>
    <row r="12" spans="1:3" x14ac:dyDescent="0.35">
      <c r="A12">
        <v>147</v>
      </c>
      <c r="B12" t="s">
        <v>165</v>
      </c>
      <c r="C12">
        <v>31</v>
      </c>
    </row>
    <row r="13" spans="1:3" x14ac:dyDescent="0.35">
      <c r="A13">
        <v>148</v>
      </c>
      <c r="B13" t="s">
        <v>166</v>
      </c>
      <c r="C13">
        <v>32</v>
      </c>
    </row>
    <row r="14" spans="1:3" x14ac:dyDescent="0.35">
      <c r="A14">
        <v>149</v>
      </c>
      <c r="B14" t="s">
        <v>167</v>
      </c>
      <c r="C14">
        <v>31</v>
      </c>
    </row>
    <row r="15" spans="1:3" x14ac:dyDescent="0.35">
      <c r="A15">
        <v>150</v>
      </c>
      <c r="B15" t="s">
        <v>168</v>
      </c>
      <c r="C15">
        <v>29</v>
      </c>
    </row>
    <row r="16" spans="1:3" x14ac:dyDescent="0.35">
      <c r="A16">
        <v>151</v>
      </c>
      <c r="B16" t="s">
        <v>169</v>
      </c>
      <c r="C16">
        <v>33.000000000007276</v>
      </c>
    </row>
    <row r="17" spans="1:3" x14ac:dyDescent="0.35">
      <c r="A17">
        <v>152</v>
      </c>
      <c r="B17" t="s">
        <v>170</v>
      </c>
      <c r="C17">
        <v>31.999999999992724</v>
      </c>
    </row>
    <row r="18" spans="1:3" x14ac:dyDescent="0.35">
      <c r="A18">
        <v>153</v>
      </c>
      <c r="B18" t="s">
        <v>171</v>
      </c>
      <c r="C18">
        <v>35</v>
      </c>
    </row>
    <row r="19" spans="1:3" x14ac:dyDescent="0.35">
      <c r="A19">
        <v>154</v>
      </c>
      <c r="B19" t="s">
        <v>172</v>
      </c>
      <c r="C19">
        <v>37.000000000007276</v>
      </c>
    </row>
    <row r="20" spans="1:3" x14ac:dyDescent="0.35">
      <c r="A20">
        <v>155</v>
      </c>
      <c r="B20" t="s">
        <v>173</v>
      </c>
      <c r="C20">
        <v>36.999999999992724</v>
      </c>
    </row>
    <row r="21" spans="1:3" x14ac:dyDescent="0.35">
      <c r="A21">
        <v>156</v>
      </c>
      <c r="B21" t="s">
        <v>174</v>
      </c>
      <c r="C21">
        <v>28</v>
      </c>
    </row>
    <row r="22" spans="1:3" x14ac:dyDescent="0.35">
      <c r="A22">
        <v>157</v>
      </c>
      <c r="B22" t="s">
        <v>175</v>
      </c>
      <c r="C22">
        <v>83.000000000007276</v>
      </c>
    </row>
    <row r="23" spans="1:3" x14ac:dyDescent="0.35">
      <c r="A23">
        <v>158</v>
      </c>
      <c r="B23" t="s">
        <v>176</v>
      </c>
      <c r="C23">
        <v>32.999999999992724</v>
      </c>
    </row>
    <row r="24" spans="1:3" x14ac:dyDescent="0.35">
      <c r="A24">
        <v>159</v>
      </c>
      <c r="B24" t="s">
        <v>177</v>
      </c>
      <c r="C24">
        <v>32.999999999992724</v>
      </c>
    </row>
    <row r="25" spans="1:3" x14ac:dyDescent="0.35">
      <c r="A25">
        <v>160</v>
      </c>
      <c r="B25" t="s">
        <v>178</v>
      </c>
      <c r="C25">
        <v>36.000000000007276</v>
      </c>
    </row>
    <row r="26" spans="1:3" x14ac:dyDescent="0.35">
      <c r="A26">
        <v>161</v>
      </c>
      <c r="B26" t="s">
        <v>179</v>
      </c>
      <c r="C26">
        <v>52</v>
      </c>
    </row>
    <row r="27" spans="1:3" x14ac:dyDescent="0.35">
      <c r="A27">
        <v>162</v>
      </c>
      <c r="B27" t="s">
        <v>180</v>
      </c>
      <c r="C27">
        <v>29</v>
      </c>
    </row>
    <row r="28" spans="1:3" x14ac:dyDescent="0.35">
      <c r="A28">
        <v>163</v>
      </c>
      <c r="B28" t="s">
        <v>181</v>
      </c>
      <c r="C28">
        <v>26.999999999992724</v>
      </c>
    </row>
    <row r="29" spans="1:3" x14ac:dyDescent="0.35">
      <c r="A29">
        <v>164</v>
      </c>
      <c r="B29" t="s">
        <v>182</v>
      </c>
      <c r="C29">
        <v>34.000000000007276</v>
      </c>
    </row>
    <row r="30" spans="1:3" x14ac:dyDescent="0.35">
      <c r="A30">
        <v>165</v>
      </c>
      <c r="B30" t="s">
        <v>183</v>
      </c>
      <c r="C30">
        <v>58</v>
      </c>
    </row>
    <row r="31" spans="1:3" x14ac:dyDescent="0.35">
      <c r="A31">
        <v>166</v>
      </c>
      <c r="B31" t="s">
        <v>184</v>
      </c>
      <c r="C31">
        <v>30.999999999992724</v>
      </c>
    </row>
    <row r="32" spans="1:3" x14ac:dyDescent="0.35">
      <c r="A32">
        <v>167</v>
      </c>
      <c r="B32" t="s">
        <v>185</v>
      </c>
      <c r="C32">
        <v>65.000000000007276</v>
      </c>
    </row>
    <row r="33" spans="1:3" x14ac:dyDescent="0.35">
      <c r="A33">
        <v>168</v>
      </c>
      <c r="B33" t="s">
        <v>186</v>
      </c>
      <c r="C33">
        <v>30.000000000007276</v>
      </c>
    </row>
    <row r="34" spans="1:3" x14ac:dyDescent="0.35">
      <c r="A34">
        <v>169</v>
      </c>
      <c r="B34" t="s">
        <v>187</v>
      </c>
      <c r="C34">
        <v>29.999999999992724</v>
      </c>
    </row>
    <row r="35" spans="1:3" x14ac:dyDescent="0.35">
      <c r="A35">
        <v>170</v>
      </c>
      <c r="B35" t="s">
        <v>188</v>
      </c>
      <c r="C35">
        <v>33.000000000007276</v>
      </c>
    </row>
    <row r="36" spans="1:3" x14ac:dyDescent="0.35">
      <c r="A36">
        <v>171</v>
      </c>
      <c r="B36" t="s">
        <v>189</v>
      </c>
      <c r="C36">
        <v>33.999999999992724</v>
      </c>
    </row>
    <row r="37" spans="1:3" x14ac:dyDescent="0.35">
      <c r="A37">
        <v>172</v>
      </c>
      <c r="B37" t="s">
        <v>190</v>
      </c>
      <c r="C37">
        <v>31</v>
      </c>
    </row>
    <row r="38" spans="1:3" x14ac:dyDescent="0.35">
      <c r="A38">
        <v>173</v>
      </c>
      <c r="B38" t="s">
        <v>191</v>
      </c>
      <c r="C38">
        <v>134</v>
      </c>
    </row>
    <row r="39" spans="1:3" x14ac:dyDescent="0.35">
      <c r="A39">
        <v>174</v>
      </c>
      <c r="B39" t="s">
        <v>192</v>
      </c>
      <c r="C39">
        <v>38</v>
      </c>
    </row>
    <row r="40" spans="1:3" x14ac:dyDescent="0.35">
      <c r="A40">
        <v>179</v>
      </c>
      <c r="B40" t="s">
        <v>197</v>
      </c>
      <c r="C40">
        <v>30.000000000007276</v>
      </c>
    </row>
    <row r="41" spans="1:3" x14ac:dyDescent="0.35">
      <c r="A41">
        <v>180</v>
      </c>
      <c r="B41" t="s">
        <v>198</v>
      </c>
      <c r="C41">
        <v>32.999999999992724</v>
      </c>
    </row>
    <row r="42" spans="1:3" x14ac:dyDescent="0.35">
      <c r="A42">
        <v>181</v>
      </c>
      <c r="B42" t="s">
        <v>200</v>
      </c>
      <c r="C42">
        <v>42.000000000007276</v>
      </c>
    </row>
    <row r="43" spans="1:3" x14ac:dyDescent="0.35">
      <c r="A43">
        <v>182</v>
      </c>
      <c r="B43" t="s">
        <v>202</v>
      </c>
      <c r="C43">
        <v>28.000000000007276</v>
      </c>
    </row>
    <row r="44" spans="1:3" x14ac:dyDescent="0.35">
      <c r="A44">
        <v>183</v>
      </c>
      <c r="B44" t="s">
        <v>203</v>
      </c>
      <c r="C44">
        <v>27.999999999985448</v>
      </c>
    </row>
    <row r="45" spans="1:3" x14ac:dyDescent="0.35">
      <c r="A45">
        <v>184</v>
      </c>
      <c r="B45" t="s">
        <v>204</v>
      </c>
      <c r="C45">
        <v>26.000000000007276</v>
      </c>
    </row>
    <row r="46" spans="1:3" x14ac:dyDescent="0.35">
      <c r="A46">
        <v>185</v>
      </c>
      <c r="B46" t="s">
        <v>205</v>
      </c>
      <c r="C46">
        <v>27</v>
      </c>
    </row>
    <row r="47" spans="1:3" x14ac:dyDescent="0.35">
      <c r="A47">
        <v>186</v>
      </c>
      <c r="B47" t="s">
        <v>206</v>
      </c>
      <c r="C47">
        <v>26.000000000007276</v>
      </c>
    </row>
    <row r="48" spans="1:3" x14ac:dyDescent="0.35">
      <c r="A48">
        <v>187</v>
      </c>
      <c r="B48" t="s">
        <v>207</v>
      </c>
      <c r="C48">
        <v>295.99999999998545</v>
      </c>
    </row>
    <row r="49" spans="1:3" x14ac:dyDescent="0.35">
      <c r="A49">
        <v>188</v>
      </c>
      <c r="B49" t="s">
        <v>208</v>
      </c>
      <c r="C49">
        <v>46.000000000007276</v>
      </c>
    </row>
    <row r="50" spans="1:3" x14ac:dyDescent="0.35">
      <c r="A50">
        <v>189</v>
      </c>
      <c r="B50" t="s">
        <v>209</v>
      </c>
      <c r="C50">
        <v>98</v>
      </c>
    </row>
    <row r="51" spans="1:3" x14ac:dyDescent="0.35">
      <c r="A51">
        <v>190</v>
      </c>
      <c r="B51" t="s">
        <v>210</v>
      </c>
      <c r="C51">
        <v>33.000000000007276</v>
      </c>
    </row>
    <row r="52" spans="1:3" x14ac:dyDescent="0.35">
      <c r="A52">
        <v>191</v>
      </c>
      <c r="B52" t="s">
        <v>211</v>
      </c>
      <c r="C52">
        <v>44.999999999992724</v>
      </c>
    </row>
    <row r="53" spans="1:3" x14ac:dyDescent="0.35">
      <c r="A53">
        <v>192</v>
      </c>
      <c r="B53" t="s">
        <v>212</v>
      </c>
      <c r="C53">
        <v>26</v>
      </c>
    </row>
    <row r="54" spans="1:3" x14ac:dyDescent="0.35">
      <c r="A54">
        <v>193</v>
      </c>
      <c r="B54" t="s">
        <v>213</v>
      </c>
      <c r="C54">
        <v>30.000000000007276</v>
      </c>
    </row>
    <row r="55" spans="1:3" x14ac:dyDescent="0.35">
      <c r="A55">
        <v>194</v>
      </c>
      <c r="B55" t="s">
        <v>214</v>
      </c>
      <c r="C55">
        <v>30.999999999992724</v>
      </c>
    </row>
    <row r="56" spans="1:3" x14ac:dyDescent="0.35">
      <c r="A56">
        <v>195</v>
      </c>
      <c r="B56" t="s">
        <v>215</v>
      </c>
      <c r="C56">
        <v>34.999999999992724</v>
      </c>
    </row>
    <row r="57" spans="1:3" x14ac:dyDescent="0.35">
      <c r="A57">
        <v>196</v>
      </c>
      <c r="B57" t="s">
        <v>216</v>
      </c>
      <c r="C57">
        <v>37</v>
      </c>
    </row>
    <row r="58" spans="1:3" x14ac:dyDescent="0.35">
      <c r="A58">
        <v>197</v>
      </c>
      <c r="B58" t="s">
        <v>217</v>
      </c>
      <c r="C58">
        <v>41</v>
      </c>
    </row>
    <row r="59" spans="1:3" x14ac:dyDescent="0.35">
      <c r="A59">
        <v>198</v>
      </c>
      <c r="B59" t="s">
        <v>218</v>
      </c>
      <c r="C59">
        <v>38</v>
      </c>
    </row>
    <row r="60" spans="1:3" x14ac:dyDescent="0.35">
      <c r="A60">
        <v>199</v>
      </c>
      <c r="B60" t="s">
        <v>219</v>
      </c>
      <c r="C60">
        <v>36</v>
      </c>
    </row>
    <row r="61" spans="1:3" x14ac:dyDescent="0.35">
      <c r="A61">
        <v>200</v>
      </c>
      <c r="B61" t="s">
        <v>220</v>
      </c>
      <c r="C61">
        <v>34</v>
      </c>
    </row>
    <row r="62" spans="1:3" x14ac:dyDescent="0.35">
      <c r="A62">
        <v>201</v>
      </c>
      <c r="B62" t="s">
        <v>221</v>
      </c>
      <c r="C62">
        <v>34</v>
      </c>
    </row>
    <row r="63" spans="1:3" x14ac:dyDescent="0.35">
      <c r="A63">
        <v>202</v>
      </c>
      <c r="B63" t="s">
        <v>222</v>
      </c>
      <c r="C63">
        <v>36.999999999992724</v>
      </c>
    </row>
    <row r="64" spans="1:3" x14ac:dyDescent="0.35">
      <c r="A64">
        <v>203</v>
      </c>
      <c r="B64" t="s">
        <v>223</v>
      </c>
      <c r="C64">
        <v>38</v>
      </c>
    </row>
    <row r="65" spans="1:3" x14ac:dyDescent="0.35">
      <c r="A65">
        <v>204</v>
      </c>
      <c r="B65" t="s">
        <v>224</v>
      </c>
      <c r="C65">
        <v>37.000000000007276</v>
      </c>
    </row>
    <row r="66" spans="1:3" x14ac:dyDescent="0.35">
      <c r="A66">
        <v>205</v>
      </c>
      <c r="B66" t="s">
        <v>225</v>
      </c>
      <c r="C66">
        <v>37</v>
      </c>
    </row>
    <row r="67" spans="1:3" x14ac:dyDescent="0.35">
      <c r="A67">
        <v>206</v>
      </c>
      <c r="B67" t="s">
        <v>226</v>
      </c>
      <c r="C67">
        <v>41</v>
      </c>
    </row>
    <row r="68" spans="1:3" x14ac:dyDescent="0.35">
      <c r="A68">
        <v>207</v>
      </c>
      <c r="B68" t="s">
        <v>227</v>
      </c>
      <c r="C68">
        <v>42</v>
      </c>
    </row>
    <row r="69" spans="1:3" x14ac:dyDescent="0.35">
      <c r="A69">
        <v>208</v>
      </c>
      <c r="B69" t="s">
        <v>228</v>
      </c>
      <c r="C69">
        <v>49</v>
      </c>
    </row>
    <row r="70" spans="1:3" x14ac:dyDescent="0.35">
      <c r="A70">
        <v>209</v>
      </c>
      <c r="B70" t="s">
        <v>229</v>
      </c>
      <c r="C70">
        <v>42</v>
      </c>
    </row>
    <row r="71" spans="1:3" x14ac:dyDescent="0.35">
      <c r="A71">
        <v>210</v>
      </c>
      <c r="B71" t="s">
        <v>230</v>
      </c>
      <c r="C71">
        <v>51</v>
      </c>
    </row>
    <row r="72" spans="1:3" x14ac:dyDescent="0.35">
      <c r="A72">
        <v>211</v>
      </c>
      <c r="B72" t="s">
        <v>231</v>
      </c>
      <c r="C72">
        <v>34</v>
      </c>
    </row>
    <row r="73" spans="1:3" x14ac:dyDescent="0.35">
      <c r="A73">
        <v>212</v>
      </c>
      <c r="B73" t="s">
        <v>232</v>
      </c>
      <c r="C73">
        <v>31</v>
      </c>
    </row>
    <row r="74" spans="1:3" x14ac:dyDescent="0.35">
      <c r="A74">
        <v>213</v>
      </c>
      <c r="B74" t="s">
        <v>233</v>
      </c>
      <c r="C74">
        <v>32</v>
      </c>
    </row>
    <row r="75" spans="1:3" x14ac:dyDescent="0.35">
      <c r="A75">
        <v>214</v>
      </c>
      <c r="B75" t="s">
        <v>234</v>
      </c>
      <c r="C75">
        <v>31</v>
      </c>
    </row>
    <row r="76" spans="1:3" x14ac:dyDescent="0.35">
      <c r="A76">
        <v>215</v>
      </c>
      <c r="B76" t="s">
        <v>235</v>
      </c>
      <c r="C76">
        <v>30</v>
      </c>
    </row>
    <row r="77" spans="1:3" x14ac:dyDescent="0.35">
      <c r="A77">
        <v>216</v>
      </c>
      <c r="B77" t="s">
        <v>236</v>
      </c>
      <c r="C77">
        <v>34</v>
      </c>
    </row>
    <row r="78" spans="1:3" x14ac:dyDescent="0.35">
      <c r="A78">
        <v>217</v>
      </c>
      <c r="B78" t="s">
        <v>237</v>
      </c>
      <c r="C78">
        <v>34</v>
      </c>
    </row>
    <row r="79" spans="1:3" x14ac:dyDescent="0.35">
      <c r="A79">
        <v>218</v>
      </c>
      <c r="B79" t="s">
        <v>238</v>
      </c>
      <c r="C79">
        <v>32</v>
      </c>
    </row>
    <row r="80" spans="1:3" x14ac:dyDescent="0.35">
      <c r="A80">
        <v>219</v>
      </c>
      <c r="B80" t="s">
        <v>239</v>
      </c>
      <c r="C80">
        <v>35</v>
      </c>
    </row>
    <row r="81" spans="1:3" x14ac:dyDescent="0.35">
      <c r="A81">
        <v>220</v>
      </c>
      <c r="B81" t="s">
        <v>240</v>
      </c>
      <c r="C81">
        <v>35</v>
      </c>
    </row>
    <row r="82" spans="1:3" x14ac:dyDescent="0.35">
      <c r="A82">
        <v>221</v>
      </c>
      <c r="B82" t="s">
        <v>241</v>
      </c>
      <c r="C82">
        <v>34</v>
      </c>
    </row>
    <row r="83" spans="1:3" x14ac:dyDescent="0.35">
      <c r="A83">
        <v>222</v>
      </c>
      <c r="B83" t="s">
        <v>242</v>
      </c>
      <c r="C83">
        <v>41</v>
      </c>
    </row>
    <row r="84" spans="1:3" x14ac:dyDescent="0.35">
      <c r="A84">
        <v>223</v>
      </c>
      <c r="B84" t="s">
        <v>243</v>
      </c>
      <c r="C84">
        <v>38</v>
      </c>
    </row>
    <row r="85" spans="1:3" x14ac:dyDescent="0.35">
      <c r="A85">
        <v>224</v>
      </c>
      <c r="B85" t="s">
        <v>244</v>
      </c>
      <c r="C85">
        <v>40</v>
      </c>
    </row>
    <row r="86" spans="1:3" x14ac:dyDescent="0.35">
      <c r="A86">
        <v>225</v>
      </c>
      <c r="B86" t="s">
        <v>245</v>
      </c>
      <c r="C86">
        <v>36.999999999992724</v>
      </c>
    </row>
    <row r="87" spans="1:3" x14ac:dyDescent="0.35">
      <c r="A87">
        <v>226</v>
      </c>
      <c r="B87" t="s">
        <v>246</v>
      </c>
      <c r="C87">
        <v>34.000000000007276</v>
      </c>
    </row>
    <row r="88" spans="1:3" x14ac:dyDescent="0.35">
      <c r="A88">
        <v>227</v>
      </c>
      <c r="B88" t="s">
        <v>247</v>
      </c>
      <c r="C88">
        <v>116</v>
      </c>
    </row>
    <row r="89" spans="1:3" x14ac:dyDescent="0.35">
      <c r="A89">
        <v>228</v>
      </c>
      <c r="B89" t="s">
        <v>248</v>
      </c>
      <c r="C89">
        <v>35.999999999992724</v>
      </c>
    </row>
    <row r="90" spans="1:3" x14ac:dyDescent="0.35">
      <c r="A90">
        <v>229</v>
      </c>
      <c r="B90" t="s">
        <v>249</v>
      </c>
      <c r="C90">
        <v>31</v>
      </c>
    </row>
    <row r="91" spans="1:3" x14ac:dyDescent="0.35">
      <c r="A91">
        <v>230</v>
      </c>
      <c r="B91" t="s">
        <v>250</v>
      </c>
      <c r="C91">
        <v>47</v>
      </c>
    </row>
    <row r="92" spans="1:3" x14ac:dyDescent="0.35">
      <c r="A92">
        <v>231</v>
      </c>
      <c r="B92" t="s">
        <v>251</v>
      </c>
      <c r="C92">
        <v>24</v>
      </c>
    </row>
    <row r="93" spans="1:3" x14ac:dyDescent="0.35">
      <c r="A93">
        <v>232</v>
      </c>
      <c r="B93" t="s">
        <v>252</v>
      </c>
      <c r="C93">
        <v>27</v>
      </c>
    </row>
    <row r="94" spans="1:3" x14ac:dyDescent="0.35">
      <c r="A94">
        <v>233</v>
      </c>
      <c r="B94" t="s">
        <v>253</v>
      </c>
      <c r="C94">
        <v>28</v>
      </c>
    </row>
    <row r="95" spans="1:3" x14ac:dyDescent="0.35">
      <c r="A95">
        <v>234</v>
      </c>
      <c r="B95" t="s">
        <v>254</v>
      </c>
      <c r="C95">
        <v>27</v>
      </c>
    </row>
    <row r="96" spans="1:3" x14ac:dyDescent="0.35">
      <c r="A96">
        <v>235</v>
      </c>
      <c r="B96" t="s">
        <v>255</v>
      </c>
      <c r="C96">
        <v>42.999999999992724</v>
      </c>
    </row>
    <row r="97" spans="1:3" x14ac:dyDescent="0.35">
      <c r="A97">
        <v>236</v>
      </c>
      <c r="B97" t="s">
        <v>256</v>
      </c>
      <c r="C97">
        <v>54</v>
      </c>
    </row>
    <row r="98" spans="1:3" x14ac:dyDescent="0.35">
      <c r="A98">
        <v>237</v>
      </c>
      <c r="B98" t="s">
        <v>257</v>
      </c>
      <c r="C98">
        <v>33</v>
      </c>
    </row>
    <row r="99" spans="1:3" x14ac:dyDescent="0.35">
      <c r="A99">
        <v>238</v>
      </c>
      <c r="B99" t="s">
        <v>258</v>
      </c>
      <c r="C99">
        <v>32</v>
      </c>
    </row>
    <row r="100" spans="1:3" x14ac:dyDescent="0.35">
      <c r="A100">
        <v>239</v>
      </c>
      <c r="B100" t="s">
        <v>259</v>
      </c>
      <c r="C100">
        <v>41</v>
      </c>
    </row>
    <row r="101" spans="1:3" x14ac:dyDescent="0.35">
      <c r="A101">
        <v>240</v>
      </c>
      <c r="B101" t="s">
        <v>260</v>
      </c>
      <c r="C101">
        <v>37</v>
      </c>
    </row>
    <row r="102" spans="1:3" x14ac:dyDescent="0.35">
      <c r="A102">
        <v>241</v>
      </c>
      <c r="B102" t="s">
        <v>261</v>
      </c>
      <c r="C102">
        <v>26</v>
      </c>
    </row>
    <row r="103" spans="1:3" x14ac:dyDescent="0.35">
      <c r="A103">
        <v>242</v>
      </c>
      <c r="B103" t="s">
        <v>262</v>
      </c>
      <c r="C103">
        <v>28</v>
      </c>
    </row>
    <row r="104" spans="1:3" x14ac:dyDescent="0.35">
      <c r="A104">
        <v>243</v>
      </c>
      <c r="B104" t="s">
        <v>263</v>
      </c>
      <c r="C104">
        <v>38</v>
      </c>
    </row>
    <row r="105" spans="1:3" x14ac:dyDescent="0.35">
      <c r="A105">
        <v>244</v>
      </c>
      <c r="B105" t="s">
        <v>264</v>
      </c>
      <c r="C105">
        <v>36</v>
      </c>
    </row>
    <row r="106" spans="1:3" x14ac:dyDescent="0.35">
      <c r="A106">
        <v>245</v>
      </c>
      <c r="B106" t="s">
        <v>265</v>
      </c>
      <c r="C106">
        <v>33</v>
      </c>
    </row>
    <row r="107" spans="1:3" x14ac:dyDescent="0.35">
      <c r="A107">
        <v>246</v>
      </c>
      <c r="B107" t="s">
        <v>266</v>
      </c>
      <c r="C107">
        <v>33.999999999992724</v>
      </c>
    </row>
    <row r="108" spans="1:3" x14ac:dyDescent="0.35">
      <c r="A108">
        <v>247</v>
      </c>
      <c r="B108" t="s">
        <v>267</v>
      </c>
      <c r="C108">
        <v>33.000000000007276</v>
      </c>
    </row>
    <row r="109" spans="1:3" x14ac:dyDescent="0.35">
      <c r="A109">
        <v>248</v>
      </c>
      <c r="B109" t="s">
        <v>268</v>
      </c>
      <c r="C109">
        <v>32.999999999992724</v>
      </c>
    </row>
    <row r="110" spans="1:3" x14ac:dyDescent="0.35">
      <c r="A110">
        <v>249</v>
      </c>
      <c r="B110" t="s">
        <v>269</v>
      </c>
      <c r="C110">
        <v>39.000000000007276</v>
      </c>
    </row>
    <row r="111" spans="1:3" x14ac:dyDescent="0.35">
      <c r="A111">
        <v>250</v>
      </c>
      <c r="B111" t="s">
        <v>270</v>
      </c>
      <c r="C111">
        <v>35</v>
      </c>
    </row>
    <row r="112" spans="1:3" x14ac:dyDescent="0.35">
      <c r="A112">
        <v>251</v>
      </c>
      <c r="B112" t="s">
        <v>271</v>
      </c>
      <c r="C112">
        <v>35</v>
      </c>
    </row>
    <row r="113" spans="1:3" x14ac:dyDescent="0.35">
      <c r="A113">
        <v>252</v>
      </c>
      <c r="B113" t="s">
        <v>272</v>
      </c>
      <c r="C113">
        <v>36</v>
      </c>
    </row>
    <row r="114" spans="1:3" x14ac:dyDescent="0.35">
      <c r="A114">
        <v>253</v>
      </c>
      <c r="B114" t="s">
        <v>273</v>
      </c>
      <c r="C114">
        <v>36</v>
      </c>
    </row>
    <row r="115" spans="1:3" x14ac:dyDescent="0.35">
      <c r="A115">
        <v>254</v>
      </c>
      <c r="B115" t="s">
        <v>274</v>
      </c>
      <c r="C115">
        <v>35</v>
      </c>
    </row>
    <row r="116" spans="1:3" x14ac:dyDescent="0.35">
      <c r="A116">
        <v>255</v>
      </c>
      <c r="B116" t="s">
        <v>275</v>
      </c>
      <c r="C116">
        <v>39</v>
      </c>
    </row>
    <row r="117" spans="1:3" x14ac:dyDescent="0.35">
      <c r="A117">
        <v>256</v>
      </c>
      <c r="B117" t="s">
        <v>276</v>
      </c>
      <c r="C117">
        <v>36</v>
      </c>
    </row>
    <row r="118" spans="1:3" x14ac:dyDescent="0.35">
      <c r="A118">
        <v>257</v>
      </c>
      <c r="B118" t="s">
        <v>277</v>
      </c>
      <c r="C118">
        <v>49</v>
      </c>
    </row>
    <row r="119" spans="1:3" x14ac:dyDescent="0.35">
      <c r="A119">
        <v>258</v>
      </c>
      <c r="B119" t="s">
        <v>278</v>
      </c>
      <c r="C119">
        <v>31.999999999992724</v>
      </c>
    </row>
    <row r="120" spans="1:3" x14ac:dyDescent="0.35">
      <c r="A120">
        <v>259</v>
      </c>
      <c r="B120" t="s">
        <v>279</v>
      </c>
      <c r="C120">
        <v>30.000000000007276</v>
      </c>
    </row>
    <row r="121" spans="1:3" x14ac:dyDescent="0.35">
      <c r="A121">
        <v>260</v>
      </c>
      <c r="B121" t="s">
        <v>280</v>
      </c>
      <c r="C121">
        <v>32</v>
      </c>
    </row>
    <row r="122" spans="1:3" x14ac:dyDescent="0.35">
      <c r="A122">
        <v>261</v>
      </c>
      <c r="B122" t="s">
        <v>281</v>
      </c>
      <c r="C122">
        <v>34</v>
      </c>
    </row>
    <row r="123" spans="1:3" x14ac:dyDescent="0.35">
      <c r="A123">
        <v>262</v>
      </c>
      <c r="B123" t="s">
        <v>282</v>
      </c>
      <c r="C123">
        <v>34</v>
      </c>
    </row>
    <row r="124" spans="1:3" x14ac:dyDescent="0.35">
      <c r="A124">
        <v>263</v>
      </c>
      <c r="B124" t="s">
        <v>283</v>
      </c>
      <c r="C124">
        <v>33</v>
      </c>
    </row>
    <row r="125" spans="1:3" x14ac:dyDescent="0.35">
      <c r="A125">
        <v>264</v>
      </c>
      <c r="B125" t="s">
        <v>284</v>
      </c>
      <c r="C125">
        <v>35</v>
      </c>
    </row>
    <row r="126" spans="1:3" x14ac:dyDescent="0.35">
      <c r="A126">
        <v>265</v>
      </c>
      <c r="B126" t="s">
        <v>285</v>
      </c>
      <c r="C126">
        <v>54</v>
      </c>
    </row>
    <row r="127" spans="1:3" x14ac:dyDescent="0.35">
      <c r="A127">
        <v>266</v>
      </c>
      <c r="B127" t="s">
        <v>286</v>
      </c>
      <c r="C127">
        <v>33</v>
      </c>
    </row>
    <row r="128" spans="1:3" x14ac:dyDescent="0.35">
      <c r="A128">
        <v>267</v>
      </c>
      <c r="B128" t="s">
        <v>287</v>
      </c>
      <c r="C128">
        <v>37.000000000007276</v>
      </c>
    </row>
    <row r="129" spans="1:3" x14ac:dyDescent="0.35">
      <c r="A129">
        <v>268</v>
      </c>
      <c r="B129" t="s">
        <v>288</v>
      </c>
      <c r="C129">
        <v>35.999999999992724</v>
      </c>
    </row>
    <row r="130" spans="1:3" x14ac:dyDescent="0.35">
      <c r="A130">
        <v>269</v>
      </c>
      <c r="B130" t="s">
        <v>289</v>
      </c>
      <c r="C130">
        <v>36</v>
      </c>
    </row>
    <row r="131" spans="1:3" x14ac:dyDescent="0.35">
      <c r="A131">
        <v>270</v>
      </c>
      <c r="B131" t="s">
        <v>290</v>
      </c>
      <c r="C131">
        <v>47</v>
      </c>
    </row>
    <row r="132" spans="1:3" x14ac:dyDescent="0.35">
      <c r="A132">
        <v>271</v>
      </c>
      <c r="B132" t="s">
        <v>291</v>
      </c>
      <c r="C132">
        <v>38</v>
      </c>
    </row>
    <row r="133" spans="1:3" x14ac:dyDescent="0.35">
      <c r="A133">
        <v>272</v>
      </c>
      <c r="B133" t="s">
        <v>292</v>
      </c>
      <c r="C133">
        <v>37</v>
      </c>
    </row>
    <row r="134" spans="1:3" x14ac:dyDescent="0.35">
      <c r="A134">
        <v>273</v>
      </c>
      <c r="B134" t="s">
        <v>293</v>
      </c>
      <c r="C134">
        <v>38.999999999992724</v>
      </c>
    </row>
    <row r="135" spans="1:3" x14ac:dyDescent="0.35">
      <c r="A135">
        <v>275</v>
      </c>
      <c r="B135" t="s">
        <v>295</v>
      </c>
      <c r="C135">
        <v>82</v>
      </c>
    </row>
    <row r="136" spans="1:3" x14ac:dyDescent="0.35">
      <c r="A136">
        <v>276</v>
      </c>
      <c r="B136" t="s">
        <v>296</v>
      </c>
      <c r="C136">
        <v>44</v>
      </c>
    </row>
    <row r="137" spans="1:3" x14ac:dyDescent="0.35">
      <c r="A137">
        <v>278</v>
      </c>
      <c r="B137" t="s">
        <v>298</v>
      </c>
      <c r="C137">
        <v>25.999999999992724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769C-0964-41C7-AC62-F3C2EA3CCC5C}">
  <dimension ref="A1:K138"/>
  <sheetViews>
    <sheetView topLeftCell="A104" zoomScale="160" zoomScaleNormal="160" workbookViewId="0">
      <selection activeCell="K129" sqref="K129"/>
    </sheetView>
  </sheetViews>
  <sheetFormatPr defaultRowHeight="14.5" x14ac:dyDescent="0.35"/>
  <cols>
    <col min="1" max="5" width="11.26953125" customWidth="1"/>
    <col min="7" max="7" width="5.81640625" customWidth="1"/>
    <col min="8" max="9" width="11.26953125" style="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5</v>
      </c>
      <c r="E1" s="1"/>
      <c r="F1" t="s">
        <v>518</v>
      </c>
      <c r="G1" t="s">
        <v>0</v>
      </c>
      <c r="H1" s="15"/>
      <c r="I1" s="15"/>
    </row>
    <row r="2" spans="1:10" x14ac:dyDescent="0.35">
      <c r="A2" s="2">
        <v>1</v>
      </c>
      <c r="B2" s="2" t="s">
        <v>6</v>
      </c>
      <c r="C2" s="3">
        <v>0.57798611111111109</v>
      </c>
      <c r="D2" s="3">
        <v>0.57844907407407409</v>
      </c>
      <c r="E2" s="3"/>
      <c r="F2">
        <v>1</v>
      </c>
      <c r="G2">
        <v>1</v>
      </c>
      <c r="H2" s="8" t="s">
        <v>477</v>
      </c>
      <c r="I2" s="8" t="s">
        <v>478</v>
      </c>
    </row>
    <row r="3" spans="1:10" x14ac:dyDescent="0.35">
      <c r="A3" s="2">
        <v>2</v>
      </c>
      <c r="B3" s="2" t="s">
        <v>7</v>
      </c>
      <c r="C3" s="3">
        <v>0.57844907407407409</v>
      </c>
      <c r="D3" s="3">
        <v>0.5788888888888889</v>
      </c>
      <c r="E3" s="3"/>
      <c r="F3">
        <v>1</v>
      </c>
      <c r="G3">
        <v>2</v>
      </c>
      <c r="H3" s="8" t="str">
        <f>I2</f>
        <v>13.52.50</v>
      </c>
      <c r="I3" s="8" t="s">
        <v>479</v>
      </c>
    </row>
    <row r="4" spans="1:10" x14ac:dyDescent="0.35">
      <c r="A4" s="2">
        <v>3</v>
      </c>
      <c r="B4" s="2" t="s">
        <v>8</v>
      </c>
      <c r="C4" s="3">
        <v>0.5788888888888889</v>
      </c>
      <c r="D4" s="3">
        <v>0.5805555555555556</v>
      </c>
      <c r="E4" s="3"/>
      <c r="F4">
        <v>1</v>
      </c>
      <c r="G4">
        <v>3</v>
      </c>
      <c r="H4" s="8" t="str">
        <f t="shared" ref="H4:H31" si="0">I3</f>
        <v>13.53.25</v>
      </c>
      <c r="I4" s="8" t="s">
        <v>480</v>
      </c>
      <c r="J4" t="s">
        <v>419</v>
      </c>
    </row>
    <row r="5" spans="1:10" x14ac:dyDescent="0.35">
      <c r="A5" s="2">
        <v>4</v>
      </c>
      <c r="B5" s="2" t="s">
        <v>8</v>
      </c>
      <c r="C5" s="3">
        <v>0.5805555555555556</v>
      </c>
      <c r="D5" s="3">
        <v>0.58097222222222222</v>
      </c>
      <c r="E5" s="3"/>
      <c r="F5">
        <v>1</v>
      </c>
      <c r="G5">
        <v>4</v>
      </c>
      <c r="H5" s="8" t="str">
        <f t="shared" si="0"/>
        <v>13.55.50</v>
      </c>
      <c r="I5" s="8" t="s">
        <v>481</v>
      </c>
    </row>
    <row r="6" spans="1:10" x14ac:dyDescent="0.35">
      <c r="A6" s="2">
        <v>5</v>
      </c>
      <c r="B6" s="2" t="s">
        <v>8</v>
      </c>
      <c r="C6" s="3">
        <v>0.58097222222222222</v>
      </c>
      <c r="D6" s="3">
        <v>0.58206018518518521</v>
      </c>
      <c r="E6" s="3"/>
      <c r="F6">
        <v>1</v>
      </c>
      <c r="G6">
        <v>5</v>
      </c>
      <c r="H6" s="8" t="str">
        <f t="shared" si="0"/>
        <v>13.56.26</v>
      </c>
      <c r="I6" s="8" t="s">
        <v>482</v>
      </c>
    </row>
    <row r="7" spans="1:10" x14ac:dyDescent="0.35">
      <c r="A7" s="2">
        <v>6</v>
      </c>
      <c r="B7" s="2" t="s">
        <v>8</v>
      </c>
      <c r="C7" s="3">
        <v>0.58206018518518521</v>
      </c>
      <c r="D7" s="3">
        <v>0.58247685185185183</v>
      </c>
      <c r="E7" s="3"/>
      <c r="F7">
        <v>1</v>
      </c>
      <c r="G7">
        <v>6</v>
      </c>
      <c r="H7" s="8" t="str">
        <f t="shared" si="0"/>
        <v>13.57.00</v>
      </c>
      <c r="I7" s="8" t="s">
        <v>483</v>
      </c>
      <c r="J7" t="s">
        <v>484</v>
      </c>
    </row>
    <row r="8" spans="1:10" x14ac:dyDescent="0.35">
      <c r="A8" s="2">
        <v>7</v>
      </c>
      <c r="B8" s="2" t="s">
        <v>8</v>
      </c>
      <c r="C8" s="3">
        <v>0.58247685185185183</v>
      </c>
      <c r="D8" s="3">
        <v>0.58284722222222218</v>
      </c>
      <c r="E8" s="3"/>
      <c r="F8">
        <v>1</v>
      </c>
      <c r="G8">
        <v>7</v>
      </c>
      <c r="H8" s="8" t="str">
        <f t="shared" si="0"/>
        <v>13.58.36</v>
      </c>
      <c r="I8" s="8" t="s">
        <v>485</v>
      </c>
    </row>
    <row r="9" spans="1:10" x14ac:dyDescent="0.35">
      <c r="A9" s="2">
        <v>8</v>
      </c>
      <c r="B9" s="2" t="s">
        <v>8</v>
      </c>
      <c r="C9" s="3">
        <v>0.58284722222222218</v>
      </c>
      <c r="D9" s="3">
        <v>0.5837268518518518</v>
      </c>
      <c r="E9" s="3"/>
      <c r="F9">
        <v>1</v>
      </c>
      <c r="G9">
        <v>8</v>
      </c>
      <c r="H9" s="8" t="str">
        <f t="shared" si="0"/>
        <v>13.59.10</v>
      </c>
      <c r="I9" s="8" t="s">
        <v>486</v>
      </c>
    </row>
    <row r="10" spans="1:10" x14ac:dyDescent="0.35">
      <c r="A10" s="2">
        <v>9</v>
      </c>
      <c r="B10" s="2" t="s">
        <v>8</v>
      </c>
      <c r="C10" s="3">
        <v>0.5837268518518518</v>
      </c>
      <c r="D10" s="3">
        <v>0.58423611111111107</v>
      </c>
      <c r="E10" s="3"/>
      <c r="F10">
        <v>1</v>
      </c>
      <c r="G10">
        <v>9</v>
      </c>
      <c r="H10" s="8" t="s">
        <v>487</v>
      </c>
      <c r="I10" s="8" t="s">
        <v>488</v>
      </c>
    </row>
    <row r="11" spans="1:10" x14ac:dyDescent="0.35">
      <c r="A11" s="2">
        <v>10</v>
      </c>
      <c r="B11" s="2" t="s">
        <v>8</v>
      </c>
      <c r="C11" s="3">
        <v>0.58423611111111107</v>
      </c>
      <c r="D11" s="3">
        <v>0.58462962962962961</v>
      </c>
      <c r="E11" s="3"/>
      <c r="F11">
        <v>1</v>
      </c>
      <c r="G11">
        <v>10</v>
      </c>
      <c r="H11" s="8" t="str">
        <f t="shared" si="0"/>
        <v>14.01.00</v>
      </c>
      <c r="I11" s="8" t="s">
        <v>489</v>
      </c>
    </row>
    <row r="12" spans="1:10" x14ac:dyDescent="0.35">
      <c r="A12" s="2">
        <v>11</v>
      </c>
      <c r="B12" s="2" t="s">
        <v>8</v>
      </c>
      <c r="C12" s="3">
        <v>0.58462962962962961</v>
      </c>
      <c r="D12" s="3">
        <v>0.58499999999999996</v>
      </c>
      <c r="E12" s="3"/>
      <c r="F12">
        <v>1</v>
      </c>
      <c r="G12">
        <v>11</v>
      </c>
      <c r="H12" s="8" t="str">
        <f t="shared" si="0"/>
        <v>14.01.42</v>
      </c>
      <c r="I12" s="8" t="s">
        <v>490</v>
      </c>
    </row>
    <row r="13" spans="1:10" x14ac:dyDescent="0.35">
      <c r="A13" s="2">
        <v>12</v>
      </c>
      <c r="B13" s="2" t="s">
        <v>8</v>
      </c>
      <c r="C13" s="3">
        <v>0.58499999999999996</v>
      </c>
      <c r="D13" s="3">
        <v>0.58539351851851851</v>
      </c>
      <c r="E13" s="3"/>
      <c r="F13">
        <v>1</v>
      </c>
      <c r="G13">
        <v>12</v>
      </c>
      <c r="H13" s="8" t="str">
        <f t="shared" si="0"/>
        <v>14.02.14</v>
      </c>
      <c r="I13" s="8" t="s">
        <v>491</v>
      </c>
    </row>
    <row r="14" spans="1:10" x14ac:dyDescent="0.35">
      <c r="A14" s="2">
        <v>13</v>
      </c>
      <c r="B14" s="2" t="s">
        <v>8</v>
      </c>
      <c r="C14" s="3">
        <v>0.58539351851851851</v>
      </c>
      <c r="D14" s="3">
        <v>0.58592592592592596</v>
      </c>
      <c r="E14" s="3"/>
      <c r="F14">
        <v>1</v>
      </c>
      <c r="G14">
        <v>13</v>
      </c>
      <c r="H14" s="8" t="str">
        <f t="shared" si="0"/>
        <v>14.02.49</v>
      </c>
      <c r="I14" s="8" t="s">
        <v>492</v>
      </c>
    </row>
    <row r="15" spans="1:10" x14ac:dyDescent="0.35">
      <c r="A15" s="2">
        <v>14</v>
      </c>
      <c r="B15" s="2" t="s">
        <v>8</v>
      </c>
      <c r="C15" s="3">
        <v>0.58592592592592596</v>
      </c>
      <c r="D15" s="3">
        <v>0.58631944444444439</v>
      </c>
      <c r="E15" s="3"/>
      <c r="F15">
        <v>1</v>
      </c>
      <c r="G15">
        <v>14</v>
      </c>
      <c r="H15" s="8" t="str">
        <f t="shared" si="0"/>
        <v>14.03.21</v>
      </c>
      <c r="I15" s="8" t="s">
        <v>493</v>
      </c>
    </row>
    <row r="16" spans="1:10" x14ac:dyDescent="0.35">
      <c r="A16" s="2">
        <v>15</v>
      </c>
      <c r="B16" s="2" t="s">
        <v>8</v>
      </c>
      <c r="C16" s="3">
        <v>0.58631944444444439</v>
      </c>
      <c r="D16" s="3">
        <v>0.58706018518518521</v>
      </c>
      <c r="E16" s="3"/>
      <c r="F16">
        <v>1</v>
      </c>
      <c r="G16">
        <v>15</v>
      </c>
      <c r="H16" s="8" t="str">
        <f t="shared" si="0"/>
        <v>14.04.08</v>
      </c>
      <c r="I16" s="8" t="s">
        <v>494</v>
      </c>
    </row>
    <row r="17" spans="1:11" x14ac:dyDescent="0.35">
      <c r="A17" s="2">
        <v>16</v>
      </c>
      <c r="B17" s="2" t="s">
        <v>8</v>
      </c>
      <c r="C17" s="3">
        <v>0.58706018518518521</v>
      </c>
      <c r="D17" s="3">
        <v>0.58780092592592592</v>
      </c>
      <c r="E17" s="3"/>
      <c r="F17">
        <v>1</v>
      </c>
      <c r="G17">
        <v>16</v>
      </c>
      <c r="H17" s="8" t="str">
        <f t="shared" si="0"/>
        <v>14.04.40</v>
      </c>
      <c r="I17" s="8" t="s">
        <v>495</v>
      </c>
      <c r="J17" t="s">
        <v>484</v>
      </c>
    </row>
    <row r="18" spans="1:11" x14ac:dyDescent="0.35">
      <c r="A18" s="2">
        <v>17</v>
      </c>
      <c r="B18" s="2" t="s">
        <v>8</v>
      </c>
      <c r="C18" s="3">
        <v>0.58780092592592592</v>
      </c>
      <c r="D18" s="3">
        <v>0.58865740740740746</v>
      </c>
      <c r="E18" s="3"/>
      <c r="F18">
        <v>1</v>
      </c>
      <c r="G18">
        <v>17</v>
      </c>
      <c r="H18" s="8" t="str">
        <f t="shared" si="0"/>
        <v>14.05.52</v>
      </c>
      <c r="I18" s="8" t="s">
        <v>496</v>
      </c>
      <c r="J18" t="s">
        <v>484</v>
      </c>
    </row>
    <row r="19" spans="1:11" x14ac:dyDescent="0.35">
      <c r="A19" s="2">
        <v>18</v>
      </c>
      <c r="B19" s="2" t="s">
        <v>8</v>
      </c>
      <c r="C19" s="3">
        <v>0.58865740740740746</v>
      </c>
      <c r="D19" s="3">
        <v>0.58944444444444444</v>
      </c>
      <c r="E19" s="3"/>
      <c r="F19">
        <v>1</v>
      </c>
      <c r="G19">
        <v>18</v>
      </c>
      <c r="H19" s="8" t="str">
        <f t="shared" si="0"/>
        <v>14.06.56</v>
      </c>
      <c r="I19" s="8" t="s">
        <v>497</v>
      </c>
      <c r="J19" t="s">
        <v>484</v>
      </c>
    </row>
    <row r="20" spans="1:11" x14ac:dyDescent="0.35">
      <c r="A20" s="2">
        <v>19</v>
      </c>
      <c r="B20" s="2" t="s">
        <v>8</v>
      </c>
      <c r="C20" s="3">
        <v>0.58944444444444444</v>
      </c>
      <c r="D20" s="3">
        <v>0.59009259259259261</v>
      </c>
      <c r="E20" s="3"/>
      <c r="F20">
        <v>1</v>
      </c>
      <c r="G20">
        <v>19</v>
      </c>
      <c r="H20" s="8" t="str">
        <f t="shared" si="0"/>
        <v>14.08.14</v>
      </c>
      <c r="I20" s="8" t="s">
        <v>498</v>
      </c>
      <c r="J20" t="s">
        <v>484</v>
      </c>
    </row>
    <row r="21" spans="1:11" x14ac:dyDescent="0.35">
      <c r="A21" s="2">
        <v>20</v>
      </c>
      <c r="B21" s="2" t="s">
        <v>8</v>
      </c>
      <c r="C21" s="3">
        <v>0.59009259259259261</v>
      </c>
      <c r="D21" s="6">
        <v>0.59096064814814819</v>
      </c>
      <c r="E21" s="6"/>
      <c r="F21">
        <v>1</v>
      </c>
      <c r="G21">
        <v>20</v>
      </c>
      <c r="H21" s="8" t="str">
        <f t="shared" si="0"/>
        <v>14.09.12</v>
      </c>
      <c r="I21" s="8" t="s">
        <v>499</v>
      </c>
      <c r="J21" t="s">
        <v>484</v>
      </c>
    </row>
    <row r="22" spans="1:11" x14ac:dyDescent="0.35">
      <c r="A22" s="2">
        <v>21</v>
      </c>
      <c r="B22" s="5" t="s">
        <v>5</v>
      </c>
      <c r="C22" s="3">
        <v>0.56341435185185185</v>
      </c>
      <c r="D22" s="3">
        <v>0.5639467592592593</v>
      </c>
      <c r="E22" s="3"/>
      <c r="F22">
        <v>1</v>
      </c>
      <c r="G22">
        <v>21</v>
      </c>
      <c r="H22" s="8" t="s">
        <v>500</v>
      </c>
      <c r="I22" s="8" t="s">
        <v>501</v>
      </c>
    </row>
    <row r="23" spans="1:11" x14ac:dyDescent="0.35">
      <c r="A23" s="2">
        <v>22</v>
      </c>
      <c r="B23" s="2" t="s">
        <v>8</v>
      </c>
      <c r="C23" s="6">
        <v>0.56387731481481485</v>
      </c>
      <c r="D23" s="3">
        <v>0.56487268518518519</v>
      </c>
      <c r="E23" s="3"/>
      <c r="F23">
        <v>1</v>
      </c>
      <c r="G23">
        <v>22</v>
      </c>
      <c r="H23" s="8" t="str">
        <f t="shared" si="0"/>
        <v>13.31.53</v>
      </c>
      <c r="I23" s="8" t="s">
        <v>502</v>
      </c>
    </row>
    <row r="24" spans="1:11" x14ac:dyDescent="0.35">
      <c r="A24" s="2">
        <v>23</v>
      </c>
      <c r="B24" s="2" t="s">
        <v>8</v>
      </c>
      <c r="C24" s="3">
        <v>0.56487268518518519</v>
      </c>
      <c r="D24" s="3">
        <v>0.56540509259259264</v>
      </c>
      <c r="E24" s="3"/>
      <c r="F24">
        <v>1</v>
      </c>
      <c r="G24">
        <v>23</v>
      </c>
      <c r="H24" s="8" t="s">
        <v>503</v>
      </c>
      <c r="I24" s="8" t="s">
        <v>504</v>
      </c>
    </row>
    <row r="25" spans="1:11" x14ac:dyDescent="0.35">
      <c r="A25" s="2">
        <v>24</v>
      </c>
      <c r="B25" s="2" t="s">
        <v>8</v>
      </c>
      <c r="C25" s="3">
        <v>0.56540509259259264</v>
      </c>
      <c r="D25" s="3">
        <v>0.5659143518518519</v>
      </c>
      <c r="E25" s="3"/>
      <c r="F25">
        <v>1</v>
      </c>
      <c r="G25">
        <v>24</v>
      </c>
      <c r="H25" s="8" t="str">
        <f t="shared" si="0"/>
        <v>13.34.01</v>
      </c>
      <c r="I25" s="8" t="s">
        <v>505</v>
      </c>
    </row>
    <row r="26" spans="1:11" x14ac:dyDescent="0.35">
      <c r="A26" s="2">
        <v>25</v>
      </c>
      <c r="B26" s="2" t="s">
        <v>8</v>
      </c>
      <c r="C26" s="3">
        <v>0.5659143518518519</v>
      </c>
      <c r="D26" s="3">
        <v>0.56642361111111106</v>
      </c>
      <c r="E26" s="3"/>
      <c r="F26">
        <v>1</v>
      </c>
      <c r="G26">
        <v>25</v>
      </c>
      <c r="H26" s="8" t="str">
        <f t="shared" si="0"/>
        <v>13.34.45</v>
      </c>
      <c r="I26" s="8" t="s">
        <v>506</v>
      </c>
    </row>
    <row r="27" spans="1:11" x14ac:dyDescent="0.35">
      <c r="A27" s="2">
        <v>26</v>
      </c>
      <c r="B27" s="2" t="s">
        <v>8</v>
      </c>
      <c r="C27" s="3">
        <v>0.56642361111111106</v>
      </c>
      <c r="D27" s="3">
        <v>0.56693287037037032</v>
      </c>
      <c r="E27" s="3"/>
      <c r="F27">
        <v>1</v>
      </c>
      <c r="G27">
        <v>26</v>
      </c>
      <c r="H27" s="8" t="str">
        <f t="shared" si="0"/>
        <v>13.35.27</v>
      </c>
      <c r="I27" s="8" t="s">
        <v>507</v>
      </c>
    </row>
    <row r="28" spans="1:11" x14ac:dyDescent="0.35">
      <c r="A28" s="2">
        <v>27</v>
      </c>
      <c r="B28" s="2" t="s">
        <v>8</v>
      </c>
      <c r="C28" s="3">
        <v>0.56693287037037032</v>
      </c>
      <c r="D28" s="3">
        <v>0.56744212962962959</v>
      </c>
      <c r="E28" s="3"/>
      <c r="F28">
        <v>1</v>
      </c>
      <c r="G28">
        <v>27</v>
      </c>
      <c r="H28" s="8" t="str">
        <f t="shared" si="0"/>
        <v>13.36.12</v>
      </c>
      <c r="I28" s="8" t="s">
        <v>508</v>
      </c>
    </row>
    <row r="29" spans="1:11" x14ac:dyDescent="0.35">
      <c r="A29" s="2">
        <v>28</v>
      </c>
      <c r="B29" s="2" t="s">
        <v>8</v>
      </c>
      <c r="C29" s="3">
        <v>0.56744212962962959</v>
      </c>
      <c r="D29" s="3">
        <v>0.56799768518518523</v>
      </c>
      <c r="E29" s="3"/>
      <c r="F29">
        <v>1</v>
      </c>
      <c r="G29">
        <v>28</v>
      </c>
      <c r="H29" s="8" t="str">
        <f t="shared" si="0"/>
        <v>13.36.56</v>
      </c>
      <c r="I29" s="8" t="s">
        <v>509</v>
      </c>
    </row>
    <row r="30" spans="1:11" x14ac:dyDescent="0.35">
      <c r="A30" s="2">
        <v>29</v>
      </c>
      <c r="B30" s="2" t="s">
        <v>8</v>
      </c>
      <c r="C30" s="3">
        <v>0.56799768518518523</v>
      </c>
      <c r="D30" s="3">
        <v>0.5685069444444445</v>
      </c>
      <c r="E30" s="3"/>
      <c r="F30">
        <v>1</v>
      </c>
      <c r="G30">
        <v>29</v>
      </c>
      <c r="H30" s="8" t="str">
        <f t="shared" si="0"/>
        <v>13.37.41</v>
      </c>
      <c r="I30" s="8" t="s">
        <v>510</v>
      </c>
    </row>
    <row r="31" spans="1:11" x14ac:dyDescent="0.35">
      <c r="A31" s="2">
        <v>30</v>
      </c>
      <c r="B31" s="2" t="s">
        <v>8</v>
      </c>
      <c r="C31" s="3">
        <v>0.5685069444444445</v>
      </c>
      <c r="D31" s="3">
        <v>0.56903935185185184</v>
      </c>
      <c r="E31" s="3"/>
      <c r="F31">
        <v>1</v>
      </c>
      <c r="G31">
        <v>30</v>
      </c>
      <c r="H31" s="8" t="str">
        <f t="shared" si="0"/>
        <v>13.38.27</v>
      </c>
      <c r="I31" s="8" t="s">
        <v>511</v>
      </c>
    </row>
    <row r="32" spans="1:11" x14ac:dyDescent="0.35">
      <c r="A32" s="2">
        <v>31</v>
      </c>
      <c r="B32" s="2" t="s">
        <v>8</v>
      </c>
      <c r="C32" s="3">
        <v>0.56903935185185184</v>
      </c>
      <c r="D32" s="3">
        <v>0.57406250000000003</v>
      </c>
      <c r="E32" s="3"/>
      <c r="F32">
        <v>1</v>
      </c>
      <c r="G32">
        <v>31</v>
      </c>
      <c r="H32" s="8" t="s">
        <v>511</v>
      </c>
      <c r="I32" s="8" t="s">
        <v>512</v>
      </c>
      <c r="J32" t="s">
        <v>484</v>
      </c>
      <c r="K32" t="s">
        <v>513</v>
      </c>
    </row>
    <row r="33" spans="1:10" x14ac:dyDescent="0.35">
      <c r="A33" s="2">
        <v>32</v>
      </c>
      <c r="B33" s="2" t="s">
        <v>8</v>
      </c>
      <c r="C33" s="3">
        <v>0.57406250000000003</v>
      </c>
      <c r="D33" s="3">
        <v>0.57695601851851852</v>
      </c>
      <c r="E33" s="3"/>
      <c r="F33">
        <v>1</v>
      </c>
      <c r="G33">
        <v>32</v>
      </c>
      <c r="H33" s="8" t="s">
        <v>514</v>
      </c>
      <c r="I33" s="8" t="s">
        <v>515</v>
      </c>
    </row>
    <row r="34" spans="1:10" x14ac:dyDescent="0.35">
      <c r="A34" s="2">
        <v>33</v>
      </c>
      <c r="B34" s="2" t="s">
        <v>8</v>
      </c>
      <c r="C34" s="3">
        <v>0.57695601851851852</v>
      </c>
      <c r="D34" s="3">
        <v>0.57755787037037032</v>
      </c>
      <c r="E34" s="3"/>
      <c r="F34">
        <v>1</v>
      </c>
      <c r="G34">
        <v>33</v>
      </c>
      <c r="H34" s="8" t="str">
        <f t="shared" ref="H34:H35" si="1">I33</f>
        <v>13.51.23</v>
      </c>
      <c r="I34" s="8" t="s">
        <v>516</v>
      </c>
    </row>
    <row r="35" spans="1:10" x14ac:dyDescent="0.35">
      <c r="A35" s="2">
        <v>34</v>
      </c>
      <c r="B35" s="2" t="s">
        <v>8</v>
      </c>
      <c r="C35" s="3">
        <v>0.57755787037037032</v>
      </c>
      <c r="D35" s="3">
        <v>0.57811342592592596</v>
      </c>
      <c r="E35" s="3"/>
      <c r="F35">
        <v>1</v>
      </c>
      <c r="G35">
        <v>34</v>
      </c>
      <c r="H35" s="8" t="str">
        <f t="shared" si="1"/>
        <v>13.52.16</v>
      </c>
      <c r="I35" s="8" t="s">
        <v>517</v>
      </c>
    </row>
    <row r="36" spans="1:10" x14ac:dyDescent="0.35">
      <c r="A36" s="2">
        <v>35</v>
      </c>
      <c r="B36" s="2" t="s">
        <v>8</v>
      </c>
      <c r="C36" s="3">
        <v>0.57811342592592596</v>
      </c>
      <c r="D36" s="3">
        <v>0.57934027777777775</v>
      </c>
      <c r="E36" s="3"/>
      <c r="F36">
        <v>1</v>
      </c>
      <c r="G36">
        <v>35</v>
      </c>
      <c r="H36" s="8" t="s">
        <v>520</v>
      </c>
      <c r="I36" s="8" t="s">
        <v>521</v>
      </c>
      <c r="J36" t="s">
        <v>519</v>
      </c>
    </row>
    <row r="37" spans="1:10" x14ac:dyDescent="0.35">
      <c r="A37" s="2">
        <v>36</v>
      </c>
      <c r="B37" s="5" t="s">
        <v>7</v>
      </c>
      <c r="C37" s="3">
        <v>0.57934027777777775</v>
      </c>
      <c r="D37" s="6">
        <v>0.57975694444444448</v>
      </c>
      <c r="E37" s="6"/>
      <c r="F37">
        <v>2</v>
      </c>
      <c r="G37">
        <v>36</v>
      </c>
      <c r="H37" s="8" t="s">
        <v>522</v>
      </c>
      <c r="I37" s="8" t="s">
        <v>523</v>
      </c>
    </row>
    <row r="38" spans="1:10" x14ac:dyDescent="0.35">
      <c r="A38" s="2">
        <v>37</v>
      </c>
      <c r="B38" s="2" t="s">
        <v>6</v>
      </c>
      <c r="C38" s="3">
        <v>0.58156249999999998</v>
      </c>
      <c r="D38" s="3">
        <v>0.58200231481481479</v>
      </c>
      <c r="E38" s="3"/>
      <c r="F38">
        <v>2</v>
      </c>
      <c r="G38">
        <v>37</v>
      </c>
      <c r="H38" s="8" t="str">
        <f t="shared" ref="H38:H101" si="2">I37</f>
        <v>13.57.56</v>
      </c>
      <c r="I38" s="8" t="s">
        <v>524</v>
      </c>
    </row>
    <row r="39" spans="1:10" x14ac:dyDescent="0.35">
      <c r="A39" s="2">
        <v>38</v>
      </c>
      <c r="B39" s="2" t="s">
        <v>7</v>
      </c>
      <c r="C39" s="3">
        <v>0.58200231481481479</v>
      </c>
      <c r="D39" s="3">
        <v>0.58251157407407406</v>
      </c>
      <c r="E39" s="3"/>
      <c r="F39">
        <v>2</v>
      </c>
      <c r="G39">
        <v>38</v>
      </c>
      <c r="H39" s="8" t="str">
        <f t="shared" si="2"/>
        <v>13.58.33</v>
      </c>
      <c r="I39" s="8" t="s">
        <v>525</v>
      </c>
    </row>
    <row r="40" spans="1:10" x14ac:dyDescent="0.35">
      <c r="A40" s="2">
        <v>39</v>
      </c>
      <c r="B40" s="2" t="s">
        <v>8</v>
      </c>
      <c r="C40" s="3">
        <v>0.58251157407407406</v>
      </c>
      <c r="D40" s="3">
        <v>0.58297453703703705</v>
      </c>
      <c r="E40" s="3"/>
      <c r="F40">
        <v>2</v>
      </c>
      <c r="G40">
        <v>39</v>
      </c>
      <c r="H40" s="8" t="str">
        <f t="shared" si="2"/>
        <v>13.59.16</v>
      </c>
      <c r="I40" s="8" t="s">
        <v>526</v>
      </c>
    </row>
    <row r="41" spans="1:10" x14ac:dyDescent="0.35">
      <c r="A41" s="2">
        <v>40</v>
      </c>
      <c r="B41" s="2" t="s">
        <v>8</v>
      </c>
      <c r="C41" s="3">
        <v>0.58297453703703705</v>
      </c>
      <c r="D41" s="3">
        <v>0.58343750000000005</v>
      </c>
      <c r="E41" s="3"/>
      <c r="F41">
        <v>2</v>
      </c>
      <c r="G41">
        <v>40</v>
      </c>
      <c r="H41" s="8" t="str">
        <f t="shared" si="2"/>
        <v>13.59.58</v>
      </c>
      <c r="I41" s="8" t="s">
        <v>527</v>
      </c>
    </row>
    <row r="42" spans="1:10" x14ac:dyDescent="0.35">
      <c r="A42" s="2">
        <v>41</v>
      </c>
      <c r="B42" s="2" t="s">
        <v>8</v>
      </c>
      <c r="C42" s="3">
        <v>0.58343750000000005</v>
      </c>
      <c r="D42" s="3">
        <v>0.58394675925925921</v>
      </c>
      <c r="E42" s="3"/>
      <c r="F42">
        <v>2</v>
      </c>
      <c r="G42">
        <v>41</v>
      </c>
      <c r="H42" s="8" t="str">
        <f t="shared" si="2"/>
        <v>14.00.39</v>
      </c>
      <c r="I42" s="8" t="s">
        <v>528</v>
      </c>
    </row>
    <row r="43" spans="1:10" x14ac:dyDescent="0.35">
      <c r="A43" s="2">
        <v>42</v>
      </c>
      <c r="B43" s="2" t="s">
        <v>8</v>
      </c>
      <c r="C43" s="3">
        <v>0.58394675925925921</v>
      </c>
      <c r="D43" s="3">
        <v>0.58443287037037039</v>
      </c>
      <c r="E43" s="3"/>
      <c r="F43">
        <v>2</v>
      </c>
      <c r="G43">
        <v>42</v>
      </c>
      <c r="H43" s="8" t="str">
        <f t="shared" si="2"/>
        <v>14.01.24</v>
      </c>
      <c r="I43" s="8" t="s">
        <v>529</v>
      </c>
    </row>
    <row r="44" spans="1:10" x14ac:dyDescent="0.35">
      <c r="A44" s="2">
        <v>43</v>
      </c>
      <c r="B44" s="2" t="s">
        <v>8</v>
      </c>
      <c r="C44" s="3">
        <v>0.58443287037037039</v>
      </c>
      <c r="D44" s="3">
        <v>0.58494212962962966</v>
      </c>
      <c r="E44" s="3"/>
      <c r="F44">
        <v>2</v>
      </c>
      <c r="G44">
        <v>43</v>
      </c>
      <c r="H44" s="8" t="str">
        <f t="shared" si="2"/>
        <v>14.02.07</v>
      </c>
      <c r="I44" s="8" t="s">
        <v>530</v>
      </c>
    </row>
    <row r="45" spans="1:10" x14ac:dyDescent="0.35">
      <c r="A45" s="2">
        <v>44</v>
      </c>
      <c r="B45" s="2" t="s">
        <v>8</v>
      </c>
      <c r="C45" s="3">
        <v>0.58494212962962966</v>
      </c>
      <c r="D45" s="3">
        <v>0.58554398148148146</v>
      </c>
      <c r="E45" s="3"/>
      <c r="F45">
        <v>2</v>
      </c>
      <c r="G45">
        <v>44</v>
      </c>
      <c r="H45" s="8" t="str">
        <f t="shared" si="2"/>
        <v>14.02.56</v>
      </c>
      <c r="I45" s="8" t="s">
        <v>531</v>
      </c>
    </row>
    <row r="46" spans="1:10" x14ac:dyDescent="0.35">
      <c r="A46" s="2">
        <v>45</v>
      </c>
      <c r="B46" s="2" t="s">
        <v>8</v>
      </c>
      <c r="C46" s="3">
        <v>0.58554398148148146</v>
      </c>
      <c r="D46" s="3">
        <v>0.58605324074074072</v>
      </c>
      <c r="E46" s="3"/>
      <c r="F46">
        <v>2</v>
      </c>
      <c r="G46">
        <v>45</v>
      </c>
      <c r="H46" s="8" t="str">
        <f t="shared" si="2"/>
        <v>14.03.42</v>
      </c>
      <c r="I46" s="8" t="s">
        <v>532</v>
      </c>
    </row>
    <row r="47" spans="1:10" x14ac:dyDescent="0.35">
      <c r="A47" s="2">
        <v>46</v>
      </c>
      <c r="B47" s="2" t="s">
        <v>8</v>
      </c>
      <c r="C47" s="3">
        <v>0.58605324074074072</v>
      </c>
      <c r="D47" s="3">
        <v>0.58656249999999999</v>
      </c>
      <c r="E47" s="3"/>
      <c r="F47">
        <v>2</v>
      </c>
      <c r="G47">
        <v>46</v>
      </c>
      <c r="H47" s="8" t="str">
        <f t="shared" si="2"/>
        <v>14.04.27</v>
      </c>
      <c r="I47" s="8" t="s">
        <v>533</v>
      </c>
    </row>
    <row r="48" spans="1:10" x14ac:dyDescent="0.35">
      <c r="A48" s="2">
        <v>47</v>
      </c>
      <c r="B48" s="2" t="s">
        <v>8</v>
      </c>
      <c r="C48" s="3">
        <v>0.58633101851851854</v>
      </c>
      <c r="D48" s="3">
        <v>0.58711805555555552</v>
      </c>
      <c r="E48" s="3"/>
      <c r="F48">
        <v>2</v>
      </c>
      <c r="G48">
        <v>47</v>
      </c>
      <c r="H48" s="8" t="str">
        <f t="shared" si="2"/>
        <v>14.05.13</v>
      </c>
      <c r="I48" s="8" t="s">
        <v>534</v>
      </c>
    </row>
    <row r="49" spans="1:10" x14ac:dyDescent="0.35">
      <c r="A49" s="2">
        <v>48</v>
      </c>
      <c r="B49" s="2" t="s">
        <v>8</v>
      </c>
      <c r="C49" s="3">
        <v>0.58711805555555552</v>
      </c>
      <c r="D49" s="3">
        <v>0.58765046296296297</v>
      </c>
      <c r="E49" s="3"/>
      <c r="F49">
        <v>2</v>
      </c>
      <c r="G49">
        <v>48</v>
      </c>
      <c r="H49" s="8" t="str">
        <f t="shared" si="2"/>
        <v>14.06.01</v>
      </c>
      <c r="I49" s="8" t="s">
        <v>535</v>
      </c>
    </row>
    <row r="50" spans="1:10" x14ac:dyDescent="0.35">
      <c r="A50" s="2">
        <v>49</v>
      </c>
      <c r="B50" s="2" t="s">
        <v>8</v>
      </c>
      <c r="C50" s="3">
        <v>0.58765046296296297</v>
      </c>
      <c r="D50" s="3">
        <v>0.58827546296296296</v>
      </c>
      <c r="E50" s="3"/>
      <c r="F50">
        <v>2</v>
      </c>
      <c r="G50">
        <v>49</v>
      </c>
      <c r="H50" s="8" t="str">
        <f t="shared" si="2"/>
        <v>14.06.54</v>
      </c>
      <c r="I50" s="8" t="s">
        <v>536</v>
      </c>
    </row>
    <row r="51" spans="1:10" x14ac:dyDescent="0.35">
      <c r="A51" s="2">
        <v>50</v>
      </c>
      <c r="B51" s="2" t="s">
        <v>8</v>
      </c>
      <c r="C51" s="3">
        <v>0.58827546296296296</v>
      </c>
      <c r="D51" s="3">
        <v>0.58883101851851849</v>
      </c>
      <c r="E51" s="3"/>
      <c r="F51">
        <v>2</v>
      </c>
      <c r="G51">
        <v>50</v>
      </c>
      <c r="H51" s="8" t="str">
        <f t="shared" si="2"/>
        <v>14.07.40</v>
      </c>
      <c r="I51" s="8" t="s">
        <v>537</v>
      </c>
    </row>
    <row r="52" spans="1:10" x14ac:dyDescent="0.35">
      <c r="A52" s="2">
        <v>51</v>
      </c>
      <c r="B52" s="2" t="s">
        <v>8</v>
      </c>
      <c r="C52" s="3">
        <v>0.58883101851851849</v>
      </c>
      <c r="D52" s="3">
        <v>0.58938657407407402</v>
      </c>
      <c r="E52" s="3"/>
      <c r="F52">
        <v>2</v>
      </c>
      <c r="G52">
        <v>51</v>
      </c>
      <c r="H52" s="8" t="str">
        <f t="shared" si="2"/>
        <v>14.08.30</v>
      </c>
      <c r="I52" s="8" t="s">
        <v>538</v>
      </c>
    </row>
    <row r="53" spans="1:10" x14ac:dyDescent="0.35">
      <c r="A53" s="2">
        <v>52</v>
      </c>
      <c r="B53" s="2" t="s">
        <v>8</v>
      </c>
      <c r="C53" s="3">
        <v>0.58938657407407402</v>
      </c>
      <c r="D53" s="3">
        <v>0.58991898148148147</v>
      </c>
      <c r="E53" s="3"/>
      <c r="F53">
        <v>2</v>
      </c>
      <c r="G53">
        <v>52</v>
      </c>
      <c r="H53" s="8" t="str">
        <f t="shared" si="2"/>
        <v>14.09.20</v>
      </c>
      <c r="I53" s="8" t="s">
        <v>539</v>
      </c>
      <c r="J53" t="s">
        <v>519</v>
      </c>
    </row>
    <row r="54" spans="1:10" x14ac:dyDescent="0.35">
      <c r="A54" s="2">
        <v>53</v>
      </c>
      <c r="B54" s="5" t="s">
        <v>5</v>
      </c>
      <c r="C54" s="3">
        <v>0.58991898148148147</v>
      </c>
      <c r="D54" s="6">
        <v>0.5912384259259259</v>
      </c>
      <c r="E54" s="6"/>
      <c r="F54">
        <v>2</v>
      </c>
      <c r="G54">
        <v>53</v>
      </c>
      <c r="H54" s="8" t="s">
        <v>540</v>
      </c>
      <c r="I54" s="8" t="s">
        <v>541</v>
      </c>
    </row>
    <row r="55" spans="1:10" x14ac:dyDescent="0.35">
      <c r="A55" s="5">
        <v>54</v>
      </c>
      <c r="B55" s="5" t="s">
        <v>5</v>
      </c>
      <c r="C55" s="6">
        <v>0.5921643518518519</v>
      </c>
      <c r="D55" s="6">
        <v>0.59260416666666671</v>
      </c>
      <c r="E55" s="6"/>
      <c r="F55">
        <v>2</v>
      </c>
      <c r="G55">
        <v>54</v>
      </c>
      <c r="H55" s="8" t="str">
        <f t="shared" si="2"/>
        <v>14.13.18</v>
      </c>
      <c r="I55" s="8" t="s">
        <v>542</v>
      </c>
    </row>
    <row r="56" spans="1:10" x14ac:dyDescent="0.35">
      <c r="A56" s="5">
        <v>55</v>
      </c>
      <c r="B56" s="5" t="s">
        <v>8</v>
      </c>
      <c r="C56" s="6">
        <v>0.59265046296296298</v>
      </c>
      <c r="D56" s="6">
        <v>0.59309027777777779</v>
      </c>
      <c r="E56" s="6"/>
      <c r="F56">
        <v>2</v>
      </c>
      <c r="G56">
        <v>55</v>
      </c>
      <c r="H56" s="8" t="str">
        <f t="shared" si="2"/>
        <v>14.13.58</v>
      </c>
      <c r="I56" s="8" t="s">
        <v>543</v>
      </c>
    </row>
    <row r="57" spans="1:10" x14ac:dyDescent="0.35">
      <c r="A57" s="5">
        <v>56</v>
      </c>
      <c r="B57" s="5" t="s">
        <v>8</v>
      </c>
      <c r="C57" s="6">
        <v>0.59309027777777779</v>
      </c>
      <c r="D57" s="6">
        <v>0.59357638888888886</v>
      </c>
      <c r="E57" s="6"/>
      <c r="F57">
        <v>2</v>
      </c>
      <c r="G57">
        <v>56</v>
      </c>
      <c r="H57" s="8" t="str">
        <f t="shared" si="2"/>
        <v>14.14.41</v>
      </c>
      <c r="I57" s="8" t="s">
        <v>544</v>
      </c>
    </row>
    <row r="58" spans="1:10" x14ac:dyDescent="0.35">
      <c r="A58" s="5">
        <v>57</v>
      </c>
      <c r="B58" s="5" t="s">
        <v>8</v>
      </c>
      <c r="C58" s="6">
        <v>0.59357638888888886</v>
      </c>
      <c r="D58" s="6">
        <v>0.59401620370370367</v>
      </c>
      <c r="E58" s="6"/>
      <c r="F58">
        <v>2</v>
      </c>
      <c r="G58">
        <v>57</v>
      </c>
      <c r="H58" s="8" t="str">
        <f t="shared" si="2"/>
        <v>14.15.20</v>
      </c>
      <c r="I58" s="8" t="s">
        <v>545</v>
      </c>
    </row>
    <row r="59" spans="1:10" x14ac:dyDescent="0.35">
      <c r="A59" s="5">
        <v>58</v>
      </c>
      <c r="B59" s="5" t="s">
        <v>8</v>
      </c>
      <c r="C59" s="6">
        <v>0.59401620370370367</v>
      </c>
      <c r="D59" s="6">
        <v>0.59445601851851848</v>
      </c>
      <c r="E59" s="6"/>
      <c r="F59">
        <v>2</v>
      </c>
      <c r="G59">
        <v>58</v>
      </c>
      <c r="H59" s="8" t="str">
        <f t="shared" si="2"/>
        <v>14.15.58</v>
      </c>
      <c r="I59" s="8" t="s">
        <v>546</v>
      </c>
    </row>
    <row r="60" spans="1:10" x14ac:dyDescent="0.35">
      <c r="A60" s="2">
        <v>59</v>
      </c>
      <c r="B60" s="3" t="s">
        <v>8</v>
      </c>
      <c r="C60" s="6">
        <v>0.59445601851851848</v>
      </c>
      <c r="D60" s="3">
        <v>0.59501157407407412</v>
      </c>
      <c r="E60" s="3"/>
      <c r="F60">
        <v>2</v>
      </c>
      <c r="G60">
        <v>59</v>
      </c>
      <c r="H60" s="8" t="str">
        <f t="shared" si="2"/>
        <v>14.16.37</v>
      </c>
      <c r="I60" s="8" t="s">
        <v>547</v>
      </c>
    </row>
    <row r="61" spans="1:10" x14ac:dyDescent="0.35">
      <c r="A61" s="2">
        <v>60</v>
      </c>
      <c r="B61" s="2" t="s">
        <v>8</v>
      </c>
      <c r="C61" s="3">
        <v>0.59501157407407412</v>
      </c>
      <c r="D61" s="3">
        <v>0.59550925925925924</v>
      </c>
      <c r="E61" s="3"/>
      <c r="F61">
        <v>2</v>
      </c>
      <c r="G61">
        <v>60</v>
      </c>
      <c r="H61" s="8" t="str">
        <f t="shared" si="2"/>
        <v>14.17.15</v>
      </c>
      <c r="I61" s="8" t="s">
        <v>548</v>
      </c>
    </row>
    <row r="62" spans="1:10" x14ac:dyDescent="0.35">
      <c r="A62" s="2">
        <v>61</v>
      </c>
      <c r="B62" s="2" t="s">
        <v>8</v>
      </c>
      <c r="C62" s="3">
        <v>0.59550925925925924</v>
      </c>
      <c r="D62" s="3">
        <v>0.59593750000000001</v>
      </c>
      <c r="E62" s="3"/>
      <c r="F62">
        <v>2</v>
      </c>
      <c r="G62">
        <v>61</v>
      </c>
      <c r="H62" s="8" t="str">
        <f t="shared" si="2"/>
        <v>14.17.56</v>
      </c>
      <c r="I62" s="8" t="s">
        <v>549</v>
      </c>
    </row>
    <row r="63" spans="1:10" x14ac:dyDescent="0.35">
      <c r="A63" s="2">
        <v>62</v>
      </c>
      <c r="B63" s="2" t="s">
        <v>8</v>
      </c>
      <c r="C63" s="3">
        <v>0.59593750000000001</v>
      </c>
      <c r="D63" s="3">
        <v>0.59644675925925927</v>
      </c>
      <c r="E63" s="3"/>
      <c r="F63">
        <v>2</v>
      </c>
      <c r="G63">
        <v>62</v>
      </c>
      <c r="H63" s="8" t="str">
        <f t="shared" si="2"/>
        <v>14.18.33</v>
      </c>
      <c r="I63" s="8" t="s">
        <v>550</v>
      </c>
    </row>
    <row r="64" spans="1:10" x14ac:dyDescent="0.35">
      <c r="A64" s="2">
        <v>63</v>
      </c>
      <c r="B64" s="2" t="s">
        <v>8</v>
      </c>
      <c r="C64" s="3">
        <v>0.59644675925925927</v>
      </c>
      <c r="D64" s="3">
        <v>0.59684027777777782</v>
      </c>
      <c r="E64" s="3"/>
      <c r="F64">
        <v>2</v>
      </c>
      <c r="G64">
        <v>63</v>
      </c>
      <c r="H64" s="8" t="str">
        <f t="shared" si="2"/>
        <v>14.19.16</v>
      </c>
      <c r="I64" s="8" t="s">
        <v>551</v>
      </c>
    </row>
    <row r="65" spans="1:10" x14ac:dyDescent="0.35">
      <c r="A65" s="2">
        <v>64</v>
      </c>
      <c r="B65" s="2" t="s">
        <v>8</v>
      </c>
      <c r="C65" s="3">
        <v>0.59684027777777782</v>
      </c>
      <c r="D65" s="3">
        <v>0.59725694444444444</v>
      </c>
      <c r="E65" s="3"/>
      <c r="F65">
        <v>2</v>
      </c>
      <c r="G65">
        <v>64</v>
      </c>
      <c r="H65" s="8" t="str">
        <f t="shared" si="2"/>
        <v>14.19.50</v>
      </c>
      <c r="I65" s="8" t="s">
        <v>552</v>
      </c>
    </row>
    <row r="66" spans="1:10" x14ac:dyDescent="0.35">
      <c r="A66" s="2">
        <v>65</v>
      </c>
      <c r="B66" s="2" t="s">
        <v>8</v>
      </c>
      <c r="C66" s="3">
        <v>0.59725694444444444</v>
      </c>
      <c r="D66" s="3">
        <v>0.59767361111111106</v>
      </c>
      <c r="E66" s="3"/>
      <c r="F66">
        <v>2</v>
      </c>
      <c r="G66">
        <v>65</v>
      </c>
      <c r="H66" s="8" t="str">
        <f t="shared" si="2"/>
        <v>14.20.27</v>
      </c>
      <c r="I66" s="8" t="s">
        <v>553</v>
      </c>
    </row>
    <row r="67" spans="1:10" x14ac:dyDescent="0.35">
      <c r="A67" s="2">
        <v>66</v>
      </c>
      <c r="B67" s="2" t="s">
        <v>8</v>
      </c>
      <c r="C67" s="3">
        <v>0.59767361111111106</v>
      </c>
      <c r="D67" s="3">
        <v>0.5980671296296296</v>
      </c>
      <c r="E67" s="3"/>
      <c r="F67">
        <v>2</v>
      </c>
      <c r="G67">
        <v>66</v>
      </c>
      <c r="H67" s="8" t="str">
        <f t="shared" si="2"/>
        <v>14.21.02</v>
      </c>
      <c r="I67" s="8" t="s">
        <v>554</v>
      </c>
    </row>
    <row r="68" spans="1:10" x14ac:dyDescent="0.35">
      <c r="A68" s="2">
        <v>67</v>
      </c>
      <c r="B68" s="2" t="s">
        <v>8</v>
      </c>
      <c r="C68" s="3">
        <v>0.5980671296296296</v>
      </c>
      <c r="D68" s="3">
        <v>0.59859953703703705</v>
      </c>
      <c r="E68" s="3"/>
      <c r="F68">
        <v>2</v>
      </c>
      <c r="G68">
        <v>67</v>
      </c>
      <c r="H68" s="8" t="str">
        <f t="shared" si="2"/>
        <v>14.21.47</v>
      </c>
      <c r="I68" s="8" t="s">
        <v>555</v>
      </c>
    </row>
    <row r="69" spans="1:10" x14ac:dyDescent="0.35">
      <c r="A69" s="2">
        <v>68</v>
      </c>
      <c r="B69" s="2" t="s">
        <v>8</v>
      </c>
      <c r="C69" s="3">
        <v>0.59859953703703705</v>
      </c>
      <c r="D69" s="3">
        <v>0.59901620370370368</v>
      </c>
      <c r="E69" s="3"/>
      <c r="F69">
        <v>2</v>
      </c>
      <c r="G69">
        <v>68</v>
      </c>
      <c r="H69" s="8" t="str">
        <f t="shared" si="2"/>
        <v>14.22.23</v>
      </c>
      <c r="I69" s="8" t="s">
        <v>556</v>
      </c>
    </row>
    <row r="70" spans="1:10" x14ac:dyDescent="0.35">
      <c r="A70" s="2">
        <v>69</v>
      </c>
      <c r="B70" s="2" t="s">
        <v>8</v>
      </c>
      <c r="C70" s="3">
        <v>0.59901620370370368</v>
      </c>
      <c r="D70" s="3">
        <v>0.59943287037037041</v>
      </c>
      <c r="E70" s="3"/>
      <c r="F70">
        <v>2</v>
      </c>
      <c r="G70">
        <v>69</v>
      </c>
      <c r="H70" s="8" t="str">
        <f t="shared" si="2"/>
        <v>14.23.00</v>
      </c>
      <c r="I70" s="8" t="s">
        <v>557</v>
      </c>
    </row>
    <row r="71" spans="1:10" x14ac:dyDescent="0.35">
      <c r="A71" s="2">
        <v>70</v>
      </c>
      <c r="B71" s="2" t="s">
        <v>8</v>
      </c>
      <c r="C71" s="3">
        <v>0.59943287037037041</v>
      </c>
      <c r="D71" s="6">
        <v>0.5997569444444445</v>
      </c>
      <c r="E71" s="6"/>
      <c r="F71">
        <v>3</v>
      </c>
      <c r="G71">
        <v>70</v>
      </c>
      <c r="H71" s="8" t="s">
        <v>558</v>
      </c>
      <c r="I71" s="8" t="s">
        <v>559</v>
      </c>
    </row>
    <row r="72" spans="1:10" x14ac:dyDescent="0.35">
      <c r="A72" s="2">
        <v>71</v>
      </c>
      <c r="B72" s="2" t="s">
        <v>6</v>
      </c>
      <c r="C72" s="3">
        <v>0.63096064814814812</v>
      </c>
      <c r="D72" s="3">
        <v>0.63146990740740738</v>
      </c>
      <c r="E72" s="3"/>
      <c r="F72">
        <v>3</v>
      </c>
      <c r="G72">
        <v>71</v>
      </c>
      <c r="H72" s="8" t="str">
        <f t="shared" si="2"/>
        <v>15.09.10</v>
      </c>
      <c r="I72" s="8" t="s">
        <v>560</v>
      </c>
    </row>
    <row r="73" spans="1:10" x14ac:dyDescent="0.35">
      <c r="A73" s="2">
        <v>72</v>
      </c>
      <c r="B73" s="2" t="s">
        <v>7</v>
      </c>
      <c r="C73" s="3">
        <v>0.63146990740740738</v>
      </c>
      <c r="D73" s="3">
        <v>0.63211805555555556</v>
      </c>
      <c r="E73" s="3"/>
      <c r="F73">
        <v>3</v>
      </c>
      <c r="G73">
        <v>72</v>
      </c>
      <c r="H73" s="8" t="s">
        <v>561</v>
      </c>
      <c r="I73" s="8" t="s">
        <v>562</v>
      </c>
    </row>
    <row r="74" spans="1:10" x14ac:dyDescent="0.35">
      <c r="A74" s="2">
        <v>73</v>
      </c>
      <c r="B74" s="2" t="s">
        <v>8</v>
      </c>
      <c r="C74" s="3">
        <v>0.63211805555555556</v>
      </c>
      <c r="D74" s="3">
        <v>0.63253472222222218</v>
      </c>
      <c r="E74" s="3"/>
      <c r="F74">
        <v>3</v>
      </c>
      <c r="G74">
        <v>73</v>
      </c>
      <c r="H74" s="8" t="str">
        <f t="shared" si="2"/>
        <v>15.10.42</v>
      </c>
      <c r="I74" s="8" t="s">
        <v>563</v>
      </c>
    </row>
    <row r="75" spans="1:10" x14ac:dyDescent="0.35">
      <c r="A75" s="2">
        <v>74</v>
      </c>
      <c r="B75" s="2" t="s">
        <v>8</v>
      </c>
      <c r="C75" s="3">
        <v>0.63253472222222218</v>
      </c>
      <c r="D75" s="3">
        <v>0.63299768518518518</v>
      </c>
      <c r="E75" s="3"/>
      <c r="F75">
        <v>3</v>
      </c>
      <c r="G75">
        <v>74</v>
      </c>
      <c r="H75" s="8" t="str">
        <f t="shared" si="2"/>
        <v>15.11.20</v>
      </c>
      <c r="I75" s="8" t="s">
        <v>564</v>
      </c>
    </row>
    <row r="76" spans="1:10" x14ac:dyDescent="0.35">
      <c r="A76" s="2">
        <v>75</v>
      </c>
      <c r="B76" s="2" t="s">
        <v>8</v>
      </c>
      <c r="C76" s="3">
        <v>0.63299768518518518</v>
      </c>
      <c r="D76" s="3">
        <v>0.6334143518518518</v>
      </c>
      <c r="E76" s="3"/>
      <c r="F76">
        <v>3</v>
      </c>
      <c r="G76">
        <v>75</v>
      </c>
      <c r="H76" s="8" t="str">
        <f t="shared" si="2"/>
        <v>15.11.58</v>
      </c>
      <c r="I76" s="8" t="s">
        <v>565</v>
      </c>
    </row>
    <row r="77" spans="1:10" x14ac:dyDescent="0.35">
      <c r="A77" s="2">
        <v>76</v>
      </c>
      <c r="B77" s="2" t="s">
        <v>8</v>
      </c>
      <c r="C77" s="3">
        <v>0.6334143518518518</v>
      </c>
      <c r="D77" s="3">
        <v>0.63380787037037034</v>
      </c>
      <c r="E77" s="3"/>
      <c r="F77">
        <v>3</v>
      </c>
      <c r="G77">
        <v>76</v>
      </c>
      <c r="H77" s="8" t="str">
        <f t="shared" si="2"/>
        <v>15.12.31</v>
      </c>
      <c r="I77" s="8" t="s">
        <v>566</v>
      </c>
    </row>
    <row r="78" spans="1:10" x14ac:dyDescent="0.35">
      <c r="A78" s="2">
        <v>77</v>
      </c>
      <c r="B78" s="2" t="s">
        <v>8</v>
      </c>
      <c r="C78" s="3">
        <v>0.63380787037037034</v>
      </c>
      <c r="D78" s="3">
        <v>0.63443287037037033</v>
      </c>
      <c r="E78" s="3"/>
      <c r="F78">
        <v>3</v>
      </c>
      <c r="G78">
        <v>77</v>
      </c>
      <c r="H78" s="8" t="str">
        <f t="shared" si="2"/>
        <v>15.13.03</v>
      </c>
      <c r="I78" s="8" t="s">
        <v>567</v>
      </c>
      <c r="J78" t="s">
        <v>484</v>
      </c>
    </row>
    <row r="79" spans="1:10" x14ac:dyDescent="0.35">
      <c r="A79" s="2">
        <v>78</v>
      </c>
      <c r="B79" s="2" t="s">
        <v>8</v>
      </c>
      <c r="C79" s="3">
        <v>0.63443287037037033</v>
      </c>
      <c r="D79" s="3">
        <v>0.635162037037037</v>
      </c>
      <c r="E79" s="3"/>
      <c r="F79">
        <v>3</v>
      </c>
      <c r="G79">
        <v>78</v>
      </c>
      <c r="H79" s="8" t="str">
        <f t="shared" si="2"/>
        <v>15.13.59</v>
      </c>
      <c r="I79" s="8" t="s">
        <v>568</v>
      </c>
      <c r="J79" t="s">
        <v>484</v>
      </c>
    </row>
    <row r="80" spans="1:10" x14ac:dyDescent="0.35">
      <c r="A80" s="2">
        <v>79</v>
      </c>
      <c r="B80" s="2" t="s">
        <v>8</v>
      </c>
      <c r="C80" s="3">
        <v>0.635162037037037</v>
      </c>
      <c r="D80" s="3">
        <v>0.6355439814814815</v>
      </c>
      <c r="E80" s="3"/>
      <c r="F80">
        <v>3</v>
      </c>
      <c r="G80">
        <v>79</v>
      </c>
      <c r="H80" s="8" t="str">
        <f t="shared" si="2"/>
        <v>15.15.02</v>
      </c>
      <c r="I80" s="8" t="s">
        <v>365</v>
      </c>
    </row>
    <row r="81" spans="1:9" x14ac:dyDescent="0.35">
      <c r="A81" s="2">
        <v>80</v>
      </c>
      <c r="B81" s="2" t="s">
        <v>8</v>
      </c>
      <c r="C81" s="3">
        <v>0.6355439814814815</v>
      </c>
      <c r="D81" s="3">
        <v>0.63590277777777782</v>
      </c>
      <c r="E81" s="3"/>
      <c r="F81">
        <v>3</v>
      </c>
      <c r="G81">
        <v>80</v>
      </c>
      <c r="H81" s="8" t="str">
        <f t="shared" si="2"/>
        <v>15.15.35</v>
      </c>
      <c r="I81" s="8" t="s">
        <v>569</v>
      </c>
    </row>
    <row r="82" spans="1:9" x14ac:dyDescent="0.35">
      <c r="A82" s="2">
        <v>81</v>
      </c>
      <c r="B82" s="2" t="s">
        <v>8</v>
      </c>
      <c r="C82" s="3">
        <v>0.63590277777777782</v>
      </c>
      <c r="D82" s="3">
        <v>0.63624999999999998</v>
      </c>
      <c r="E82" s="3"/>
      <c r="F82">
        <v>3</v>
      </c>
      <c r="G82">
        <v>81</v>
      </c>
      <c r="H82" s="8" t="str">
        <f t="shared" si="2"/>
        <v>15.16.03</v>
      </c>
      <c r="I82" s="8" t="s">
        <v>570</v>
      </c>
    </row>
    <row r="83" spans="1:9" x14ac:dyDescent="0.35">
      <c r="A83" s="2">
        <v>82</v>
      </c>
      <c r="B83" s="2" t="s">
        <v>8</v>
      </c>
      <c r="C83" s="3">
        <v>0.63624999999999998</v>
      </c>
      <c r="D83" s="3">
        <v>0.63662037037037034</v>
      </c>
      <c r="E83" s="3"/>
      <c r="F83">
        <v>3</v>
      </c>
      <c r="G83">
        <v>82</v>
      </c>
      <c r="H83" s="8" t="str">
        <f t="shared" si="2"/>
        <v>15.16.35</v>
      </c>
      <c r="I83" s="8" t="s">
        <v>571</v>
      </c>
    </row>
    <row r="84" spans="1:9" x14ac:dyDescent="0.35">
      <c r="A84" s="2">
        <v>83</v>
      </c>
      <c r="B84" s="2" t="s">
        <v>8</v>
      </c>
      <c r="C84" s="3">
        <v>0.63662037037037034</v>
      </c>
      <c r="D84" s="3">
        <v>0.63693287037037039</v>
      </c>
      <c r="E84" s="3"/>
      <c r="F84">
        <v>3</v>
      </c>
      <c r="G84">
        <v>83</v>
      </c>
      <c r="H84" s="8" t="str">
        <f t="shared" si="2"/>
        <v>15.17.05</v>
      </c>
      <c r="I84" s="8" t="s">
        <v>572</v>
      </c>
    </row>
    <row r="85" spans="1:9" x14ac:dyDescent="0.35">
      <c r="A85" s="2">
        <v>84</v>
      </c>
      <c r="B85" s="2" t="s">
        <v>8</v>
      </c>
      <c r="C85" s="3">
        <v>0.63693287037037039</v>
      </c>
      <c r="D85" s="3">
        <v>0.63728009259259255</v>
      </c>
      <c r="E85" s="3"/>
      <c r="F85">
        <v>3</v>
      </c>
      <c r="G85">
        <v>84</v>
      </c>
      <c r="H85" s="8" t="str">
        <f t="shared" si="2"/>
        <v>15.17.34</v>
      </c>
      <c r="I85" s="8" t="s">
        <v>573</v>
      </c>
    </row>
    <row r="86" spans="1:9" x14ac:dyDescent="0.35">
      <c r="A86" s="2">
        <v>85</v>
      </c>
      <c r="B86" s="2" t="s">
        <v>8</v>
      </c>
      <c r="C86" s="3">
        <v>0.63728009259259255</v>
      </c>
      <c r="D86" s="3">
        <v>0.63760416666666664</v>
      </c>
      <c r="E86" s="3"/>
      <c r="F86">
        <v>3</v>
      </c>
      <c r="G86">
        <v>85</v>
      </c>
      <c r="H86" s="8" t="str">
        <f t="shared" si="2"/>
        <v>15.18.03</v>
      </c>
      <c r="I86" s="8" t="s">
        <v>574</v>
      </c>
    </row>
    <row r="87" spans="1:9" x14ac:dyDescent="0.35">
      <c r="A87" s="2">
        <v>86</v>
      </c>
      <c r="B87" s="2" t="s">
        <v>8</v>
      </c>
      <c r="C87" s="3">
        <v>0.63760416666666664</v>
      </c>
      <c r="D87" s="3">
        <v>0.63792824074074073</v>
      </c>
      <c r="E87" s="3"/>
      <c r="F87">
        <v>3</v>
      </c>
      <c r="G87">
        <v>86</v>
      </c>
      <c r="H87" s="8" t="str">
        <f t="shared" si="2"/>
        <v>15.18.31</v>
      </c>
      <c r="I87" s="8" t="s">
        <v>575</v>
      </c>
    </row>
    <row r="88" spans="1:9" x14ac:dyDescent="0.35">
      <c r="A88" s="2">
        <v>87</v>
      </c>
      <c r="B88" s="2" t="s">
        <v>8</v>
      </c>
      <c r="C88" s="3">
        <v>0.63792824074074073</v>
      </c>
      <c r="D88" s="3">
        <v>0.63832175925925927</v>
      </c>
      <c r="E88" s="3"/>
      <c r="F88">
        <v>3</v>
      </c>
      <c r="G88">
        <v>87</v>
      </c>
      <c r="H88" s="8" t="str">
        <f t="shared" si="2"/>
        <v>15.18.57</v>
      </c>
      <c r="I88" s="8" t="s">
        <v>576</v>
      </c>
    </row>
    <row r="89" spans="1:9" x14ac:dyDescent="0.35">
      <c r="A89" s="2">
        <v>88</v>
      </c>
      <c r="B89" s="2" t="s">
        <v>8</v>
      </c>
      <c r="C89" s="3">
        <v>0.63832175925925927</v>
      </c>
      <c r="D89" s="3">
        <v>0.63878472222222227</v>
      </c>
      <c r="E89" s="3"/>
      <c r="F89">
        <v>3</v>
      </c>
      <c r="G89">
        <v>88</v>
      </c>
      <c r="H89" s="8" t="str">
        <f t="shared" si="2"/>
        <v>15.19.32</v>
      </c>
      <c r="I89" s="8" t="s">
        <v>577</v>
      </c>
    </row>
    <row r="90" spans="1:9" x14ac:dyDescent="0.35">
      <c r="A90" s="2">
        <v>89</v>
      </c>
      <c r="B90" s="2" t="s">
        <v>8</v>
      </c>
      <c r="C90" s="3">
        <v>0.63878472222222227</v>
      </c>
      <c r="D90" s="6">
        <v>0.63952546296296298</v>
      </c>
      <c r="E90" s="6"/>
      <c r="F90">
        <v>3</v>
      </c>
      <c r="G90">
        <v>89</v>
      </c>
      <c r="H90" s="8" t="s">
        <v>578</v>
      </c>
      <c r="I90" s="8" t="s">
        <v>579</v>
      </c>
    </row>
    <row r="91" spans="1:9" x14ac:dyDescent="0.35">
      <c r="A91" s="2">
        <v>90</v>
      </c>
      <c r="B91" s="5" t="s">
        <v>5</v>
      </c>
      <c r="C91" s="3">
        <v>0.6401041666666667</v>
      </c>
      <c r="D91" s="3">
        <v>0.64072916666666668</v>
      </c>
      <c r="E91" s="3"/>
      <c r="F91">
        <v>3</v>
      </c>
      <c r="G91">
        <v>90</v>
      </c>
      <c r="H91" s="8" t="str">
        <f t="shared" si="2"/>
        <v>15.22.17</v>
      </c>
      <c r="I91" s="8" t="s">
        <v>580</v>
      </c>
    </row>
    <row r="92" spans="1:9" x14ac:dyDescent="0.35">
      <c r="A92" s="2">
        <v>91</v>
      </c>
      <c r="B92" s="2" t="s">
        <v>8</v>
      </c>
      <c r="C92" s="3">
        <v>0.64072916666666668</v>
      </c>
      <c r="D92" s="3">
        <v>0.64126157407407403</v>
      </c>
      <c r="E92" s="3"/>
      <c r="F92">
        <v>3</v>
      </c>
      <c r="G92">
        <v>91</v>
      </c>
      <c r="H92" s="8" t="str">
        <f t="shared" si="2"/>
        <v>15.23.13</v>
      </c>
      <c r="I92" s="8" t="s">
        <v>581</v>
      </c>
    </row>
    <row r="93" spans="1:9" x14ac:dyDescent="0.35">
      <c r="A93" s="2">
        <v>92</v>
      </c>
      <c r="B93" s="2" t="s">
        <v>8</v>
      </c>
      <c r="C93" s="3">
        <v>0.64126157407407403</v>
      </c>
      <c r="D93" s="3">
        <v>0.64172453703703702</v>
      </c>
      <c r="E93" s="3"/>
      <c r="F93">
        <v>3</v>
      </c>
      <c r="G93">
        <v>92</v>
      </c>
      <c r="H93" s="8" t="str">
        <f t="shared" si="2"/>
        <v>15.23.55</v>
      </c>
      <c r="I93" s="8" t="s">
        <v>582</v>
      </c>
    </row>
    <row r="94" spans="1:9" x14ac:dyDescent="0.35">
      <c r="A94" s="2">
        <v>93</v>
      </c>
      <c r="B94" s="2" t="s">
        <v>8</v>
      </c>
      <c r="C94" s="3">
        <v>0.64172453703703702</v>
      </c>
      <c r="D94" s="3">
        <v>0.64215277777777779</v>
      </c>
      <c r="E94" s="3"/>
      <c r="F94">
        <v>3</v>
      </c>
      <c r="G94">
        <v>93</v>
      </c>
      <c r="H94" s="8" t="str">
        <f t="shared" si="2"/>
        <v>15.24.32</v>
      </c>
      <c r="I94" s="8" t="s">
        <v>583</v>
      </c>
    </row>
    <row r="95" spans="1:9" x14ac:dyDescent="0.35">
      <c r="A95" s="2">
        <v>94</v>
      </c>
      <c r="B95" s="2" t="s">
        <v>8</v>
      </c>
      <c r="C95" s="3">
        <v>0.64215277777777779</v>
      </c>
      <c r="D95" s="3">
        <v>0.64258101851851857</v>
      </c>
      <c r="E95" s="3"/>
      <c r="F95">
        <v>3</v>
      </c>
      <c r="G95">
        <v>94</v>
      </c>
      <c r="H95" s="8" t="str">
        <f t="shared" si="2"/>
        <v>15.25.09</v>
      </c>
      <c r="I95" s="8" t="s">
        <v>584</v>
      </c>
    </row>
    <row r="96" spans="1:9" x14ac:dyDescent="0.35">
      <c r="A96" s="2">
        <v>95</v>
      </c>
      <c r="B96" s="2" t="s">
        <v>8</v>
      </c>
      <c r="C96" s="3">
        <v>0.64258101851851857</v>
      </c>
      <c r="D96" s="3">
        <v>0.64304398148148145</v>
      </c>
      <c r="E96" s="3"/>
      <c r="F96">
        <v>3</v>
      </c>
      <c r="G96">
        <v>95</v>
      </c>
      <c r="H96" s="8" t="str">
        <f t="shared" si="2"/>
        <v>15.25.50</v>
      </c>
      <c r="I96" s="8" t="s">
        <v>585</v>
      </c>
    </row>
    <row r="97" spans="1:10" x14ac:dyDescent="0.35">
      <c r="A97" s="2">
        <v>96</v>
      </c>
      <c r="B97" s="2" t="s">
        <v>8</v>
      </c>
      <c r="C97" s="3">
        <v>0.64304398148148145</v>
      </c>
      <c r="D97" s="3">
        <v>0.64350694444444445</v>
      </c>
      <c r="E97" s="3"/>
      <c r="F97">
        <v>3</v>
      </c>
      <c r="G97">
        <v>96</v>
      </c>
      <c r="H97" s="8" t="str">
        <f t="shared" si="2"/>
        <v>15.26.30</v>
      </c>
      <c r="I97" s="8" t="s">
        <v>586</v>
      </c>
    </row>
    <row r="98" spans="1:10" x14ac:dyDescent="0.35">
      <c r="A98" s="2">
        <v>97</v>
      </c>
      <c r="B98" s="2" t="s">
        <v>8</v>
      </c>
      <c r="C98" s="3">
        <v>0.64350694444444445</v>
      </c>
      <c r="D98" s="3">
        <v>0.64399305555555553</v>
      </c>
      <c r="E98" s="3"/>
      <c r="F98">
        <v>3</v>
      </c>
      <c r="G98">
        <v>97</v>
      </c>
      <c r="H98" s="8" t="str">
        <f t="shared" si="2"/>
        <v>15.27.09</v>
      </c>
      <c r="I98" s="8" t="s">
        <v>587</v>
      </c>
    </row>
    <row r="99" spans="1:10" x14ac:dyDescent="0.35">
      <c r="A99" s="2">
        <v>98</v>
      </c>
      <c r="B99" s="2" t="s">
        <v>8</v>
      </c>
      <c r="C99" s="3">
        <v>0.64399305555555553</v>
      </c>
      <c r="D99" s="3">
        <v>0.64445601851851853</v>
      </c>
      <c r="E99" s="3"/>
      <c r="F99">
        <v>3</v>
      </c>
      <c r="G99">
        <v>98</v>
      </c>
      <c r="H99" s="8" t="str">
        <f t="shared" si="2"/>
        <v>15.27.51</v>
      </c>
      <c r="I99" s="8" t="s">
        <v>588</v>
      </c>
    </row>
    <row r="100" spans="1:10" x14ac:dyDescent="0.35">
      <c r="A100" s="2">
        <v>99</v>
      </c>
      <c r="B100" s="2" t="s">
        <v>8</v>
      </c>
      <c r="C100" s="3">
        <v>0.64445601851851853</v>
      </c>
      <c r="D100" s="3">
        <v>0.6449421296296296</v>
      </c>
      <c r="E100" s="3"/>
      <c r="F100">
        <v>3</v>
      </c>
      <c r="G100">
        <v>99</v>
      </c>
      <c r="H100" s="8" t="str">
        <f t="shared" si="2"/>
        <v>15.28.35</v>
      </c>
      <c r="I100" s="8" t="s">
        <v>589</v>
      </c>
    </row>
    <row r="101" spans="1:10" x14ac:dyDescent="0.35">
      <c r="A101" s="2">
        <v>100</v>
      </c>
      <c r="B101" s="2" t="s">
        <v>8</v>
      </c>
      <c r="C101" s="3">
        <v>0.6449421296296296</v>
      </c>
      <c r="D101" s="3">
        <v>0.64538194444444441</v>
      </c>
      <c r="E101" s="3"/>
      <c r="F101">
        <v>3</v>
      </c>
      <c r="G101">
        <v>100</v>
      </c>
      <c r="H101" s="8" t="str">
        <f t="shared" si="2"/>
        <v>15.29.12</v>
      </c>
      <c r="I101" s="8" t="s">
        <v>590</v>
      </c>
    </row>
    <row r="102" spans="1:10" x14ac:dyDescent="0.35">
      <c r="A102" s="2">
        <v>101</v>
      </c>
      <c r="B102" s="2" t="s">
        <v>8</v>
      </c>
      <c r="C102" s="3">
        <v>0.64538194444444441</v>
      </c>
      <c r="D102" s="3">
        <v>0.64584490740740741</v>
      </c>
      <c r="E102" s="3"/>
      <c r="F102">
        <v>3</v>
      </c>
      <c r="G102">
        <v>101</v>
      </c>
      <c r="H102" s="8" t="str">
        <f t="shared" ref="H102:H137" si="3">I101</f>
        <v>15.29.52</v>
      </c>
      <c r="I102" s="8" t="s">
        <v>591</v>
      </c>
    </row>
    <row r="103" spans="1:10" x14ac:dyDescent="0.35">
      <c r="A103" s="2">
        <v>102</v>
      </c>
      <c r="B103" s="2" t="s">
        <v>8</v>
      </c>
      <c r="C103" s="3">
        <v>0.64584490740740741</v>
      </c>
      <c r="D103" s="3">
        <v>0.64628472222222222</v>
      </c>
      <c r="E103" s="3"/>
      <c r="F103">
        <v>3</v>
      </c>
      <c r="G103">
        <v>102</v>
      </c>
      <c r="H103" s="8" t="str">
        <f t="shared" si="3"/>
        <v>15.30.31</v>
      </c>
      <c r="I103" s="8" t="s">
        <v>592</v>
      </c>
    </row>
    <row r="104" spans="1:10" x14ac:dyDescent="0.35">
      <c r="A104" s="2">
        <v>103</v>
      </c>
      <c r="B104" s="2" t="s">
        <v>8</v>
      </c>
      <c r="C104" s="3">
        <v>0.64628472222222222</v>
      </c>
      <c r="D104" s="3">
        <v>0.64692129629629624</v>
      </c>
      <c r="E104" s="3"/>
      <c r="F104">
        <v>3</v>
      </c>
      <c r="G104">
        <v>103</v>
      </c>
      <c r="H104" s="8" t="str">
        <f t="shared" si="3"/>
        <v>15.31.10</v>
      </c>
      <c r="I104" s="8" t="s">
        <v>593</v>
      </c>
      <c r="J104" t="s">
        <v>519</v>
      </c>
    </row>
    <row r="105" spans="1:10" x14ac:dyDescent="0.35">
      <c r="A105" s="2">
        <v>104</v>
      </c>
      <c r="B105" s="5" t="s">
        <v>7</v>
      </c>
      <c r="C105" s="3">
        <v>0.64692129629629624</v>
      </c>
      <c r="D105" s="6">
        <v>0.64732638888888894</v>
      </c>
      <c r="E105" s="6"/>
      <c r="F105">
        <v>4</v>
      </c>
      <c r="G105">
        <v>104</v>
      </c>
      <c r="H105" s="8" t="s">
        <v>594</v>
      </c>
      <c r="I105" s="8" t="s">
        <v>595</v>
      </c>
      <c r="J105" t="s">
        <v>484</v>
      </c>
    </row>
    <row r="106" spans="1:10" x14ac:dyDescent="0.35">
      <c r="A106" s="2">
        <v>105</v>
      </c>
      <c r="B106" s="2" t="s">
        <v>6</v>
      </c>
      <c r="C106" s="3">
        <v>0.64959490740740744</v>
      </c>
      <c r="D106" s="3">
        <v>0.65003472222222225</v>
      </c>
      <c r="E106" s="3"/>
      <c r="F106">
        <v>4</v>
      </c>
      <c r="G106">
        <v>105</v>
      </c>
      <c r="H106" s="8" t="str">
        <f t="shared" si="3"/>
        <v>15.35.52</v>
      </c>
      <c r="I106" s="8" t="s">
        <v>596</v>
      </c>
    </row>
    <row r="107" spans="1:10" x14ac:dyDescent="0.35">
      <c r="A107" s="2">
        <v>106</v>
      </c>
      <c r="B107" s="2" t="s">
        <v>7</v>
      </c>
      <c r="C107" s="3">
        <v>0.65003472222222225</v>
      </c>
      <c r="D107" s="3">
        <v>0.65061342592592597</v>
      </c>
      <c r="E107" s="3"/>
      <c r="F107">
        <v>4</v>
      </c>
      <c r="G107">
        <v>106</v>
      </c>
      <c r="H107" s="8" t="str">
        <f t="shared" si="3"/>
        <v>15.36.45</v>
      </c>
      <c r="I107" s="8" t="s">
        <v>597</v>
      </c>
    </row>
    <row r="108" spans="1:10" x14ac:dyDescent="0.35">
      <c r="A108" s="2">
        <v>107</v>
      </c>
      <c r="B108" s="2" t="s">
        <v>8</v>
      </c>
      <c r="C108" s="3">
        <v>0.65061342592592597</v>
      </c>
      <c r="D108" s="3">
        <v>0.65103009259259259</v>
      </c>
      <c r="E108" s="3"/>
      <c r="F108">
        <v>4</v>
      </c>
      <c r="G108">
        <v>107</v>
      </c>
      <c r="H108" s="8" t="str">
        <f t="shared" si="3"/>
        <v>15.37.20</v>
      </c>
      <c r="I108" s="8" t="s">
        <v>598</v>
      </c>
    </row>
    <row r="109" spans="1:10" x14ac:dyDescent="0.35">
      <c r="A109" s="2">
        <v>108</v>
      </c>
      <c r="B109" s="2" t="s">
        <v>8</v>
      </c>
      <c r="C109" s="3">
        <v>0.65103009259259259</v>
      </c>
      <c r="D109" s="3">
        <v>0.65140046296296295</v>
      </c>
      <c r="E109" s="3"/>
      <c r="F109">
        <v>4</v>
      </c>
      <c r="G109">
        <v>108</v>
      </c>
      <c r="H109" s="8" t="str">
        <f t="shared" si="3"/>
        <v>15.37.54</v>
      </c>
      <c r="I109" s="8" t="s">
        <v>599</v>
      </c>
    </row>
    <row r="110" spans="1:10" x14ac:dyDescent="0.35">
      <c r="A110" s="2">
        <v>109</v>
      </c>
      <c r="B110" s="2" t="s">
        <v>8</v>
      </c>
      <c r="C110" s="3">
        <v>0.65140046296296295</v>
      </c>
      <c r="D110" s="3">
        <v>0.65181712962962968</v>
      </c>
      <c r="E110" s="3"/>
      <c r="F110">
        <v>4</v>
      </c>
      <c r="G110">
        <v>109</v>
      </c>
      <c r="H110" s="8" t="str">
        <f t="shared" si="3"/>
        <v>15.38.27</v>
      </c>
      <c r="I110" s="8" t="s">
        <v>600</v>
      </c>
    </row>
    <row r="111" spans="1:10" x14ac:dyDescent="0.35">
      <c r="A111" s="2">
        <v>110</v>
      </c>
      <c r="B111" s="2" t="s">
        <v>8</v>
      </c>
      <c r="C111" s="3">
        <v>0.65181712962962968</v>
      </c>
      <c r="D111" s="3">
        <v>0.6522337962962963</v>
      </c>
      <c r="E111" s="3"/>
      <c r="F111">
        <v>4</v>
      </c>
      <c r="G111">
        <v>110</v>
      </c>
      <c r="H111" s="8" t="str">
        <f t="shared" si="3"/>
        <v>15.39.05</v>
      </c>
      <c r="I111" s="8" t="s">
        <v>601</v>
      </c>
    </row>
    <row r="112" spans="1:10" x14ac:dyDescent="0.35">
      <c r="A112" s="2">
        <v>111</v>
      </c>
      <c r="B112" s="2" t="s">
        <v>8</v>
      </c>
      <c r="C112" s="3">
        <v>0.6522337962962963</v>
      </c>
      <c r="D112" s="3">
        <v>0.65265046296296292</v>
      </c>
      <c r="E112" s="3"/>
      <c r="F112">
        <v>4</v>
      </c>
      <c r="G112">
        <v>111</v>
      </c>
      <c r="H112" s="8" t="str">
        <f t="shared" si="3"/>
        <v>15.39.40</v>
      </c>
      <c r="I112" s="8" t="s">
        <v>602</v>
      </c>
    </row>
    <row r="113" spans="1:10" x14ac:dyDescent="0.35">
      <c r="A113" s="2">
        <v>112</v>
      </c>
      <c r="B113" s="2" t="s">
        <v>8</v>
      </c>
      <c r="C113" s="3">
        <v>0.65265046296296292</v>
      </c>
      <c r="D113" s="3">
        <v>0.65306712962962965</v>
      </c>
      <c r="E113" s="3"/>
      <c r="F113">
        <v>4</v>
      </c>
      <c r="G113">
        <v>112</v>
      </c>
      <c r="H113" s="8" t="str">
        <f t="shared" si="3"/>
        <v>15.40.17</v>
      </c>
      <c r="I113" s="8" t="s">
        <v>603</v>
      </c>
    </row>
    <row r="114" spans="1:10" x14ac:dyDescent="0.35">
      <c r="A114" s="2">
        <v>113</v>
      </c>
      <c r="B114" s="2" t="s">
        <v>8</v>
      </c>
      <c r="C114" s="3">
        <v>0.65306712962962965</v>
      </c>
      <c r="D114" s="3">
        <v>0.65350694444444446</v>
      </c>
      <c r="E114" s="3"/>
      <c r="F114">
        <v>4</v>
      </c>
      <c r="G114">
        <v>113</v>
      </c>
      <c r="H114" s="8" t="str">
        <f t="shared" si="3"/>
        <v>15.40.54</v>
      </c>
      <c r="I114" s="8" t="s">
        <v>604</v>
      </c>
    </row>
    <row r="115" spans="1:10" x14ac:dyDescent="0.35">
      <c r="A115" s="2">
        <v>114</v>
      </c>
      <c r="B115" s="2" t="s">
        <v>8</v>
      </c>
      <c r="C115" s="3">
        <v>0.65350694444444446</v>
      </c>
      <c r="D115" s="3">
        <v>0.65394675925925927</v>
      </c>
      <c r="E115" s="3"/>
      <c r="F115">
        <v>4</v>
      </c>
      <c r="G115">
        <v>114</v>
      </c>
      <c r="H115" s="8" t="str">
        <f t="shared" si="3"/>
        <v>15.41.31</v>
      </c>
      <c r="I115" s="8" t="s">
        <v>605</v>
      </c>
    </row>
    <row r="116" spans="1:10" x14ac:dyDescent="0.35">
      <c r="A116" s="2">
        <v>115</v>
      </c>
      <c r="B116" s="2" t="s">
        <v>8</v>
      </c>
      <c r="C116" s="3">
        <v>0.65394675925925927</v>
      </c>
      <c r="D116" s="3">
        <v>0.65436342592592589</v>
      </c>
      <c r="E116" s="3"/>
      <c r="F116">
        <v>4</v>
      </c>
      <c r="G116">
        <v>115</v>
      </c>
      <c r="H116" s="8" t="str">
        <f t="shared" si="3"/>
        <v>15.42.08</v>
      </c>
      <c r="I116" s="8" t="s">
        <v>606</v>
      </c>
    </row>
    <row r="117" spans="1:10" x14ac:dyDescent="0.35">
      <c r="A117" s="2">
        <v>116</v>
      </c>
      <c r="B117" s="2" t="s">
        <v>8</v>
      </c>
      <c r="C117" s="3">
        <v>0.65436342592592589</v>
      </c>
      <c r="D117" s="3">
        <v>0.65495370370370365</v>
      </c>
      <c r="E117" s="3"/>
      <c r="F117">
        <v>4</v>
      </c>
      <c r="G117">
        <v>116</v>
      </c>
      <c r="H117" s="8" t="str">
        <f t="shared" si="3"/>
        <v>15.42.48</v>
      </c>
      <c r="I117" s="8" t="s">
        <v>607</v>
      </c>
    </row>
    <row r="118" spans="1:10" x14ac:dyDescent="0.35">
      <c r="A118" s="2">
        <v>117</v>
      </c>
      <c r="B118" s="2" t="s">
        <v>8</v>
      </c>
      <c r="C118" s="3">
        <v>0.65495370370370365</v>
      </c>
      <c r="D118" s="3">
        <v>0.65559027777777779</v>
      </c>
      <c r="E118" s="3"/>
      <c r="F118">
        <v>4</v>
      </c>
      <c r="G118">
        <v>117</v>
      </c>
      <c r="H118" s="8" t="str">
        <f t="shared" si="3"/>
        <v>15.43.40</v>
      </c>
      <c r="I118" s="8" t="s">
        <v>608</v>
      </c>
    </row>
    <row r="119" spans="1:10" x14ac:dyDescent="0.35">
      <c r="A119" s="2">
        <v>118</v>
      </c>
      <c r="B119" s="2" t="s">
        <v>8</v>
      </c>
      <c r="C119" s="3">
        <v>0.65559027777777779</v>
      </c>
      <c r="D119" s="3">
        <v>0.65605324074074078</v>
      </c>
      <c r="E119" s="3"/>
      <c r="F119">
        <v>4</v>
      </c>
      <c r="G119">
        <v>118</v>
      </c>
      <c r="H119" s="8" t="str">
        <f t="shared" si="3"/>
        <v>15.44.35</v>
      </c>
      <c r="I119" s="8" t="s">
        <v>609</v>
      </c>
    </row>
    <row r="120" spans="1:10" x14ac:dyDescent="0.35">
      <c r="A120" s="2">
        <v>119</v>
      </c>
      <c r="B120" s="2" t="s">
        <v>8</v>
      </c>
      <c r="C120" s="3">
        <v>0.65605324074074078</v>
      </c>
      <c r="D120" s="3">
        <v>0.65653935185185186</v>
      </c>
      <c r="E120" s="3"/>
      <c r="F120">
        <v>4</v>
      </c>
      <c r="G120">
        <v>119</v>
      </c>
      <c r="H120" s="8" t="str">
        <f t="shared" si="3"/>
        <v>15.45.16</v>
      </c>
      <c r="I120" s="8" t="s">
        <v>610</v>
      </c>
    </row>
    <row r="121" spans="1:10" x14ac:dyDescent="0.35">
      <c r="A121" s="2">
        <v>120</v>
      </c>
      <c r="B121" s="2" t="s">
        <v>8</v>
      </c>
      <c r="C121" s="3">
        <v>0.65653935185185186</v>
      </c>
      <c r="D121" s="3">
        <v>0.65719907407407407</v>
      </c>
      <c r="E121" s="3"/>
      <c r="F121">
        <v>4</v>
      </c>
      <c r="G121">
        <v>120</v>
      </c>
      <c r="H121" s="8" t="str">
        <f t="shared" si="3"/>
        <v>15.45.56</v>
      </c>
      <c r="I121" s="8" t="s">
        <v>611</v>
      </c>
      <c r="J121" t="s">
        <v>519</v>
      </c>
    </row>
    <row r="122" spans="1:10" x14ac:dyDescent="0.35">
      <c r="A122" s="2">
        <v>121</v>
      </c>
      <c r="B122" s="5" t="s">
        <v>5</v>
      </c>
      <c r="C122" s="3">
        <v>0.65719907407407407</v>
      </c>
      <c r="D122" s="6">
        <v>0.65767361111111111</v>
      </c>
      <c r="E122" s="6"/>
      <c r="F122">
        <v>4</v>
      </c>
      <c r="G122">
        <v>121</v>
      </c>
      <c r="H122" s="8" t="s">
        <v>393</v>
      </c>
      <c r="I122" s="8" t="s">
        <v>612</v>
      </c>
    </row>
    <row r="123" spans="1:10" x14ac:dyDescent="0.35">
      <c r="A123" s="2">
        <v>122</v>
      </c>
      <c r="B123" s="5" t="s">
        <v>5</v>
      </c>
      <c r="C123" s="3">
        <v>0.65929398148148144</v>
      </c>
      <c r="D123" s="3">
        <v>0.65971064814814817</v>
      </c>
      <c r="E123" s="3"/>
      <c r="F123">
        <v>4</v>
      </c>
      <c r="G123">
        <v>122</v>
      </c>
      <c r="H123" s="8" t="str">
        <f t="shared" si="3"/>
        <v>15.49.49</v>
      </c>
      <c r="I123" s="8" t="s">
        <v>613</v>
      </c>
    </row>
    <row r="124" spans="1:10" x14ac:dyDescent="0.35">
      <c r="A124" s="2">
        <v>123</v>
      </c>
      <c r="B124" s="2" t="s">
        <v>8</v>
      </c>
      <c r="C124" s="3">
        <v>0.65971064814814817</v>
      </c>
      <c r="D124" s="3">
        <v>0.66011574074074075</v>
      </c>
      <c r="E124" s="3"/>
      <c r="F124">
        <v>4</v>
      </c>
      <c r="G124">
        <v>123</v>
      </c>
      <c r="H124" s="8" t="str">
        <f t="shared" si="3"/>
        <v>15.50.23</v>
      </c>
      <c r="I124" s="8" t="s">
        <v>614</v>
      </c>
    </row>
    <row r="125" spans="1:10" x14ac:dyDescent="0.35">
      <c r="A125" s="2">
        <v>124</v>
      </c>
      <c r="B125" s="2" t="s">
        <v>8</v>
      </c>
      <c r="C125" s="3">
        <v>0.66011574074074075</v>
      </c>
      <c r="D125" s="3">
        <v>0.66059027777777779</v>
      </c>
      <c r="E125" s="3"/>
      <c r="F125">
        <v>4</v>
      </c>
      <c r="G125">
        <v>124</v>
      </c>
      <c r="H125" s="8" t="str">
        <f t="shared" si="3"/>
        <v>15.51.05</v>
      </c>
      <c r="I125" s="8" t="s">
        <v>615</v>
      </c>
    </row>
    <row r="126" spans="1:10" x14ac:dyDescent="0.35">
      <c r="A126" s="2">
        <v>125</v>
      </c>
      <c r="B126" s="2" t="s">
        <v>8</v>
      </c>
      <c r="C126" s="3">
        <v>0.66059027777777779</v>
      </c>
      <c r="D126" s="3">
        <v>0.66096064814814814</v>
      </c>
      <c r="E126" s="3"/>
      <c r="F126">
        <v>4</v>
      </c>
      <c r="G126">
        <v>125</v>
      </c>
      <c r="H126" s="8" t="str">
        <f t="shared" si="3"/>
        <v>15.51.39</v>
      </c>
      <c r="I126" s="8" t="s">
        <v>616</v>
      </c>
    </row>
    <row r="127" spans="1:10" x14ac:dyDescent="0.35">
      <c r="A127" s="2">
        <v>126</v>
      </c>
      <c r="B127" s="2" t="s">
        <v>8</v>
      </c>
      <c r="C127" s="3">
        <v>0.66096064814814814</v>
      </c>
      <c r="D127" s="3">
        <v>0.66134259259259254</v>
      </c>
      <c r="E127" s="3"/>
      <c r="F127">
        <v>4</v>
      </c>
      <c r="G127">
        <v>126</v>
      </c>
      <c r="H127" s="8" t="str">
        <f t="shared" si="3"/>
        <v>15.52.11</v>
      </c>
      <c r="I127" s="8" t="s">
        <v>398</v>
      </c>
    </row>
    <row r="128" spans="1:10" x14ac:dyDescent="0.35">
      <c r="A128" s="2">
        <v>127</v>
      </c>
      <c r="B128" s="2" t="s">
        <v>8</v>
      </c>
      <c r="C128" s="3">
        <v>0.66134259259259254</v>
      </c>
      <c r="D128" s="3">
        <v>0.66172453703703704</v>
      </c>
      <c r="E128" s="3"/>
      <c r="F128">
        <v>4</v>
      </c>
      <c r="G128">
        <v>127</v>
      </c>
      <c r="H128" s="8" t="str">
        <f t="shared" si="3"/>
        <v>15.52.44</v>
      </c>
      <c r="I128" s="8" t="s">
        <v>617</v>
      </c>
    </row>
    <row r="129" spans="1:9" x14ac:dyDescent="0.35">
      <c r="A129" s="2">
        <v>128</v>
      </c>
      <c r="B129" s="2" t="s">
        <v>8</v>
      </c>
      <c r="C129" s="3">
        <v>0.66172453703703704</v>
      </c>
      <c r="D129" s="3">
        <v>0.66208333333333336</v>
      </c>
      <c r="E129" s="3"/>
      <c r="F129">
        <v>4</v>
      </c>
      <c r="G129">
        <v>128</v>
      </c>
      <c r="H129" s="8" t="str">
        <f t="shared" si="3"/>
        <v>15.53.16</v>
      </c>
      <c r="I129" s="8" t="s">
        <v>618</v>
      </c>
    </row>
    <row r="130" spans="1:9" x14ac:dyDescent="0.35">
      <c r="A130" s="2">
        <v>129</v>
      </c>
      <c r="B130" s="2" t="s">
        <v>8</v>
      </c>
      <c r="C130" s="3">
        <v>0.66208333333333336</v>
      </c>
      <c r="D130" s="3">
        <v>0.66245370370370371</v>
      </c>
      <c r="E130" s="3"/>
      <c r="F130">
        <v>4</v>
      </c>
      <c r="G130">
        <v>129</v>
      </c>
      <c r="H130" s="8" t="str">
        <f t="shared" si="3"/>
        <v>15.53.47</v>
      </c>
      <c r="I130" s="8" t="s">
        <v>619</v>
      </c>
    </row>
    <row r="131" spans="1:9" x14ac:dyDescent="0.35">
      <c r="A131" s="2">
        <v>130</v>
      </c>
      <c r="B131" s="2" t="s">
        <v>8</v>
      </c>
      <c r="C131" s="3">
        <v>0.66245370370370371</v>
      </c>
      <c r="D131" s="3">
        <v>0.66282407407407407</v>
      </c>
      <c r="E131" s="3"/>
      <c r="F131">
        <v>4</v>
      </c>
      <c r="G131">
        <v>130</v>
      </c>
      <c r="H131" s="8" t="str">
        <f t="shared" si="3"/>
        <v>15.54.19</v>
      </c>
      <c r="I131" s="8" t="s">
        <v>620</v>
      </c>
    </row>
    <row r="132" spans="1:9" x14ac:dyDescent="0.35">
      <c r="A132" s="2">
        <v>131</v>
      </c>
      <c r="B132" s="2" t="s">
        <v>8</v>
      </c>
      <c r="C132" s="3">
        <v>0.66282407407407407</v>
      </c>
      <c r="D132" s="3">
        <v>0.66314814814814815</v>
      </c>
      <c r="E132" s="3"/>
      <c r="F132">
        <v>4</v>
      </c>
      <c r="G132">
        <v>131</v>
      </c>
      <c r="H132" s="8" t="str">
        <f t="shared" si="3"/>
        <v>15.54.49</v>
      </c>
      <c r="I132" s="8" t="s">
        <v>621</v>
      </c>
    </row>
    <row r="133" spans="1:9" x14ac:dyDescent="0.35">
      <c r="A133" s="2">
        <v>132</v>
      </c>
      <c r="B133" s="2" t="s">
        <v>8</v>
      </c>
      <c r="C133" s="3">
        <v>0.66314814814814815</v>
      </c>
      <c r="D133" s="3">
        <v>0.66349537037037032</v>
      </c>
      <c r="E133" s="3"/>
      <c r="F133">
        <v>4</v>
      </c>
      <c r="G133">
        <v>132</v>
      </c>
      <c r="H133" s="8" t="str">
        <f t="shared" si="3"/>
        <v>15.55.18</v>
      </c>
      <c r="I133" s="8" t="s">
        <v>622</v>
      </c>
    </row>
    <row r="134" spans="1:9" x14ac:dyDescent="0.35">
      <c r="A134" s="2">
        <v>133</v>
      </c>
      <c r="B134" s="2" t="s">
        <v>8</v>
      </c>
      <c r="C134" s="3">
        <v>0.66349537037037032</v>
      </c>
      <c r="D134" s="3">
        <v>0.66385416666666663</v>
      </c>
      <c r="E134" s="3"/>
      <c r="F134">
        <v>4</v>
      </c>
      <c r="G134">
        <v>133</v>
      </c>
      <c r="H134" s="8" t="str">
        <f t="shared" si="3"/>
        <v>15.55.49</v>
      </c>
      <c r="I134" s="8" t="s">
        <v>623</v>
      </c>
    </row>
    <row r="135" spans="1:9" x14ac:dyDescent="0.35">
      <c r="A135" s="2">
        <v>134</v>
      </c>
      <c r="B135" s="2" t="s">
        <v>8</v>
      </c>
      <c r="C135" s="3">
        <v>0.66385416666666663</v>
      </c>
      <c r="D135" s="3">
        <v>0.6642824074074074</v>
      </c>
      <c r="E135" s="3"/>
      <c r="F135">
        <v>4</v>
      </c>
      <c r="G135">
        <v>134</v>
      </c>
      <c r="H135" s="8" t="str">
        <f t="shared" si="3"/>
        <v>15.56.19</v>
      </c>
      <c r="I135" s="8" t="s">
        <v>624</v>
      </c>
    </row>
    <row r="136" spans="1:9" x14ac:dyDescent="0.35">
      <c r="A136" s="2">
        <v>135</v>
      </c>
      <c r="B136" s="2" t="s">
        <v>8</v>
      </c>
      <c r="C136" s="3">
        <v>0.6642824074074074</v>
      </c>
      <c r="D136" s="3">
        <v>0.66460648148148149</v>
      </c>
      <c r="E136" s="3"/>
      <c r="F136">
        <v>4</v>
      </c>
      <c r="G136">
        <v>135</v>
      </c>
      <c r="H136" s="8" t="str">
        <f t="shared" si="3"/>
        <v>15.56.55</v>
      </c>
      <c r="I136" s="8" t="s">
        <v>625</v>
      </c>
    </row>
    <row r="137" spans="1:9" x14ac:dyDescent="0.35">
      <c r="A137" s="2">
        <v>136</v>
      </c>
      <c r="B137" s="2" t="s">
        <v>8</v>
      </c>
      <c r="C137" s="3">
        <v>0.66460648148148149</v>
      </c>
      <c r="D137" s="6">
        <v>0.66491898148148143</v>
      </c>
      <c r="E137" s="6"/>
      <c r="F137">
        <v>4</v>
      </c>
      <c r="G137">
        <v>136</v>
      </c>
      <c r="H137" s="8" t="str">
        <f t="shared" si="3"/>
        <v>15.57.27</v>
      </c>
      <c r="I137" s="8" t="s">
        <v>626</v>
      </c>
    </row>
    <row r="138" spans="1:9" x14ac:dyDescent="0.35">
      <c r="A138" s="2">
        <v>137</v>
      </c>
      <c r="B138" s="2" t="s">
        <v>8</v>
      </c>
      <c r="C138" s="6">
        <v>0.66491898148148143</v>
      </c>
      <c r="D138" s="6">
        <v>0.66531249999999997</v>
      </c>
      <c r="E138" s="6"/>
      <c r="H138" s="8"/>
      <c r="I138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668F-0AA3-4381-8044-7F0F2EC0ECBF}">
  <dimension ref="A1:K138"/>
  <sheetViews>
    <sheetView zoomScale="160" zoomScaleNormal="160" workbookViewId="0">
      <selection activeCell="G1" sqref="G1:J1048576"/>
    </sheetView>
  </sheetViews>
  <sheetFormatPr defaultRowHeight="14.5" x14ac:dyDescent="0.35"/>
  <cols>
    <col min="1" max="5" width="11.26953125" customWidth="1"/>
    <col min="7" max="7" width="5.81640625" customWidth="1"/>
    <col min="8" max="9" width="11.26953125" style="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5</v>
      </c>
      <c r="E1" s="1"/>
      <c r="F1" t="s">
        <v>518</v>
      </c>
      <c r="G1" t="s">
        <v>0</v>
      </c>
      <c r="H1" s="15"/>
      <c r="I1" s="15"/>
    </row>
    <row r="2" spans="1:10" x14ac:dyDescent="0.35">
      <c r="A2" s="2">
        <v>1</v>
      </c>
      <c r="B2" s="2" t="s">
        <v>6</v>
      </c>
      <c r="C2" s="3">
        <v>0.57798611111111109</v>
      </c>
      <c r="D2" s="3">
        <v>0.57844907407407409</v>
      </c>
      <c r="E2" s="3"/>
      <c r="F2">
        <v>1</v>
      </c>
      <c r="G2">
        <v>1</v>
      </c>
      <c r="H2" s="8" t="s">
        <v>477</v>
      </c>
      <c r="I2" s="8" t="s">
        <v>478</v>
      </c>
    </row>
    <row r="3" spans="1:10" x14ac:dyDescent="0.35">
      <c r="A3" s="2">
        <v>2</v>
      </c>
      <c r="B3" s="2" t="s">
        <v>7</v>
      </c>
      <c r="C3" s="3">
        <v>0.57844907407407409</v>
      </c>
      <c r="D3" s="3">
        <v>0.5788888888888889</v>
      </c>
      <c r="E3" s="3"/>
      <c r="F3">
        <v>1</v>
      </c>
      <c r="G3">
        <v>2</v>
      </c>
      <c r="H3" s="8" t="str">
        <f>I2</f>
        <v>13.52.50</v>
      </c>
      <c r="I3" s="8" t="s">
        <v>479</v>
      </c>
    </row>
    <row r="4" spans="1:10" x14ac:dyDescent="0.35">
      <c r="A4" s="2">
        <v>3</v>
      </c>
      <c r="B4" s="2" t="s">
        <v>8</v>
      </c>
      <c r="C4" s="3">
        <v>0.5788888888888889</v>
      </c>
      <c r="D4" s="3">
        <v>0.5805555555555556</v>
      </c>
      <c r="E4" s="3"/>
      <c r="F4">
        <v>1</v>
      </c>
      <c r="G4">
        <v>3</v>
      </c>
      <c r="H4" s="8" t="str">
        <f t="shared" ref="H4:H31" si="0">I3</f>
        <v>13.53.25</v>
      </c>
      <c r="I4" s="8" t="s">
        <v>480</v>
      </c>
      <c r="J4" t="s">
        <v>419</v>
      </c>
    </row>
    <row r="5" spans="1:10" x14ac:dyDescent="0.35">
      <c r="A5" s="2">
        <v>4</v>
      </c>
      <c r="B5" s="2" t="s">
        <v>8</v>
      </c>
      <c r="C5" s="3">
        <v>0.5805555555555556</v>
      </c>
      <c r="D5" s="3">
        <v>0.58097222222222222</v>
      </c>
      <c r="E5" s="3"/>
      <c r="F5">
        <v>1</v>
      </c>
      <c r="G5">
        <v>4</v>
      </c>
      <c r="H5" s="8" t="str">
        <f t="shared" si="0"/>
        <v>13.55.50</v>
      </c>
      <c r="I5" s="8" t="s">
        <v>481</v>
      </c>
    </row>
    <row r="6" spans="1:10" x14ac:dyDescent="0.35">
      <c r="A6" s="2">
        <v>5</v>
      </c>
      <c r="B6" s="2" t="s">
        <v>8</v>
      </c>
      <c r="C6" s="3">
        <v>0.58097222222222222</v>
      </c>
      <c r="D6" s="3">
        <v>0.58206018518518521</v>
      </c>
      <c r="E6" s="3"/>
      <c r="F6">
        <v>1</v>
      </c>
      <c r="G6">
        <v>5</v>
      </c>
      <c r="H6" s="8" t="str">
        <f t="shared" si="0"/>
        <v>13.56.26</v>
      </c>
      <c r="I6" s="8" t="s">
        <v>482</v>
      </c>
    </row>
    <row r="7" spans="1:10" x14ac:dyDescent="0.35">
      <c r="A7" s="2">
        <v>6</v>
      </c>
      <c r="B7" s="2" t="s">
        <v>8</v>
      </c>
      <c r="C7" s="3">
        <v>0.58206018518518521</v>
      </c>
      <c r="D7" s="3">
        <v>0.58247685185185183</v>
      </c>
      <c r="E7" s="3"/>
      <c r="F7">
        <v>1</v>
      </c>
      <c r="G7">
        <v>6</v>
      </c>
      <c r="H7" s="8" t="str">
        <f t="shared" si="0"/>
        <v>13.57.00</v>
      </c>
      <c r="I7" s="8" t="s">
        <v>483</v>
      </c>
      <c r="J7" t="s">
        <v>484</v>
      </c>
    </row>
    <row r="8" spans="1:10" x14ac:dyDescent="0.35">
      <c r="A8" s="2">
        <v>7</v>
      </c>
      <c r="B8" s="2" t="s">
        <v>8</v>
      </c>
      <c r="C8" s="3">
        <v>0.58247685185185183</v>
      </c>
      <c r="D8" s="3">
        <v>0.58284722222222218</v>
      </c>
      <c r="E8" s="3"/>
      <c r="F8">
        <v>1</v>
      </c>
      <c r="G8">
        <v>7</v>
      </c>
      <c r="H8" s="8" t="str">
        <f t="shared" si="0"/>
        <v>13.58.36</v>
      </c>
      <c r="I8" s="8" t="s">
        <v>485</v>
      </c>
    </row>
    <row r="9" spans="1:10" x14ac:dyDescent="0.35">
      <c r="A9" s="2">
        <v>8</v>
      </c>
      <c r="B9" s="2" t="s">
        <v>8</v>
      </c>
      <c r="C9" s="3">
        <v>0.58284722222222218</v>
      </c>
      <c r="D9" s="3">
        <v>0.5837268518518518</v>
      </c>
      <c r="E9" s="3"/>
      <c r="F9">
        <v>1</v>
      </c>
      <c r="G9">
        <v>8</v>
      </c>
      <c r="H9" s="8" t="str">
        <f t="shared" si="0"/>
        <v>13.59.10</v>
      </c>
      <c r="I9" s="8" t="s">
        <v>486</v>
      </c>
    </row>
    <row r="10" spans="1:10" x14ac:dyDescent="0.35">
      <c r="A10" s="2">
        <v>9</v>
      </c>
      <c r="B10" s="2" t="s">
        <v>8</v>
      </c>
      <c r="C10" s="3">
        <v>0.5837268518518518</v>
      </c>
      <c r="D10" s="3">
        <v>0.58423611111111107</v>
      </c>
      <c r="E10" s="3"/>
      <c r="F10">
        <v>1</v>
      </c>
      <c r="G10">
        <v>9</v>
      </c>
      <c r="H10" s="8" t="s">
        <v>487</v>
      </c>
      <c r="I10" s="8" t="s">
        <v>488</v>
      </c>
    </row>
    <row r="11" spans="1:10" x14ac:dyDescent="0.35">
      <c r="A11" s="2">
        <v>10</v>
      </c>
      <c r="B11" s="2" t="s">
        <v>8</v>
      </c>
      <c r="C11" s="3">
        <v>0.58423611111111107</v>
      </c>
      <c r="D11" s="3">
        <v>0.58462962962962961</v>
      </c>
      <c r="E11" s="3"/>
      <c r="F11">
        <v>1</v>
      </c>
      <c r="G11">
        <v>10</v>
      </c>
      <c r="H11" s="8" t="str">
        <f t="shared" si="0"/>
        <v>14.01.00</v>
      </c>
      <c r="I11" s="8" t="s">
        <v>489</v>
      </c>
    </row>
    <row r="12" spans="1:10" x14ac:dyDescent="0.35">
      <c r="A12" s="2">
        <v>11</v>
      </c>
      <c r="B12" s="2" t="s">
        <v>8</v>
      </c>
      <c r="C12" s="3">
        <v>0.58462962962962961</v>
      </c>
      <c r="D12" s="3">
        <v>0.58499999999999996</v>
      </c>
      <c r="E12" s="3"/>
      <c r="F12">
        <v>1</v>
      </c>
      <c r="G12">
        <v>11</v>
      </c>
      <c r="H12" s="8" t="str">
        <f t="shared" si="0"/>
        <v>14.01.42</v>
      </c>
      <c r="I12" s="8" t="s">
        <v>490</v>
      </c>
    </row>
    <row r="13" spans="1:10" x14ac:dyDescent="0.35">
      <c r="A13" s="2">
        <v>12</v>
      </c>
      <c r="B13" s="2" t="s">
        <v>8</v>
      </c>
      <c r="C13" s="3">
        <v>0.58499999999999996</v>
      </c>
      <c r="D13" s="3">
        <v>0.58539351851851851</v>
      </c>
      <c r="E13" s="3"/>
      <c r="F13">
        <v>1</v>
      </c>
      <c r="G13">
        <v>12</v>
      </c>
      <c r="H13" s="8" t="str">
        <f t="shared" si="0"/>
        <v>14.02.14</v>
      </c>
      <c r="I13" s="8" t="s">
        <v>491</v>
      </c>
    </row>
    <row r="14" spans="1:10" x14ac:dyDescent="0.35">
      <c r="A14" s="2">
        <v>13</v>
      </c>
      <c r="B14" s="2" t="s">
        <v>8</v>
      </c>
      <c r="C14" s="3">
        <v>0.58539351851851851</v>
      </c>
      <c r="D14" s="3">
        <v>0.58592592592592596</v>
      </c>
      <c r="E14" s="3"/>
      <c r="F14">
        <v>1</v>
      </c>
      <c r="G14">
        <v>13</v>
      </c>
      <c r="H14" s="8" t="str">
        <f t="shared" si="0"/>
        <v>14.02.49</v>
      </c>
      <c r="I14" s="8" t="s">
        <v>492</v>
      </c>
    </row>
    <row r="15" spans="1:10" x14ac:dyDescent="0.35">
      <c r="A15" s="2">
        <v>14</v>
      </c>
      <c r="B15" s="2" t="s">
        <v>8</v>
      </c>
      <c r="C15" s="3">
        <v>0.58592592592592596</v>
      </c>
      <c r="D15" s="3">
        <v>0.58631944444444439</v>
      </c>
      <c r="E15" s="3"/>
      <c r="F15">
        <v>1</v>
      </c>
      <c r="G15">
        <v>14</v>
      </c>
      <c r="H15" s="8" t="str">
        <f t="shared" si="0"/>
        <v>14.03.21</v>
      </c>
      <c r="I15" s="8" t="s">
        <v>493</v>
      </c>
    </row>
    <row r="16" spans="1:10" x14ac:dyDescent="0.35">
      <c r="A16" s="2">
        <v>15</v>
      </c>
      <c r="B16" s="2" t="s">
        <v>8</v>
      </c>
      <c r="C16" s="3">
        <v>0.58631944444444439</v>
      </c>
      <c r="D16" s="3">
        <v>0.58706018518518521</v>
      </c>
      <c r="E16" s="3"/>
      <c r="F16">
        <v>1</v>
      </c>
      <c r="G16">
        <v>15</v>
      </c>
      <c r="H16" s="8" t="str">
        <f t="shared" si="0"/>
        <v>14.04.08</v>
      </c>
      <c r="I16" s="8" t="s">
        <v>494</v>
      </c>
    </row>
    <row r="17" spans="1:11" x14ac:dyDescent="0.35">
      <c r="A17" s="2">
        <v>16</v>
      </c>
      <c r="B17" s="2" t="s">
        <v>8</v>
      </c>
      <c r="C17" s="3">
        <v>0.58706018518518521</v>
      </c>
      <c r="D17" s="3">
        <v>0.58780092592592592</v>
      </c>
      <c r="E17" s="3"/>
      <c r="F17">
        <v>1</v>
      </c>
      <c r="G17">
        <v>16</v>
      </c>
      <c r="H17" s="8" t="str">
        <f t="shared" si="0"/>
        <v>14.04.40</v>
      </c>
      <c r="I17" s="8" t="s">
        <v>495</v>
      </c>
      <c r="J17" t="s">
        <v>484</v>
      </c>
    </row>
    <row r="18" spans="1:11" x14ac:dyDescent="0.35">
      <c r="A18" s="2">
        <v>17</v>
      </c>
      <c r="B18" s="2" t="s">
        <v>8</v>
      </c>
      <c r="C18" s="3">
        <v>0.58780092592592592</v>
      </c>
      <c r="D18" s="3">
        <v>0.58865740740740746</v>
      </c>
      <c r="E18" s="3"/>
      <c r="F18">
        <v>1</v>
      </c>
      <c r="G18">
        <v>17</v>
      </c>
      <c r="H18" s="8" t="str">
        <f t="shared" si="0"/>
        <v>14.05.52</v>
      </c>
      <c r="I18" s="8" t="s">
        <v>496</v>
      </c>
      <c r="J18" t="s">
        <v>484</v>
      </c>
    </row>
    <row r="19" spans="1:11" x14ac:dyDescent="0.35">
      <c r="A19" s="2">
        <v>18</v>
      </c>
      <c r="B19" s="2" t="s">
        <v>8</v>
      </c>
      <c r="C19" s="3">
        <v>0.58865740740740746</v>
      </c>
      <c r="D19" s="3">
        <v>0.58944444444444444</v>
      </c>
      <c r="E19" s="3"/>
      <c r="F19">
        <v>1</v>
      </c>
      <c r="G19">
        <v>18</v>
      </c>
      <c r="H19" s="8" t="str">
        <f t="shared" si="0"/>
        <v>14.06.56</v>
      </c>
      <c r="I19" s="8" t="s">
        <v>497</v>
      </c>
      <c r="J19" t="s">
        <v>484</v>
      </c>
    </row>
    <row r="20" spans="1:11" x14ac:dyDescent="0.35">
      <c r="A20" s="2">
        <v>19</v>
      </c>
      <c r="B20" s="2" t="s">
        <v>8</v>
      </c>
      <c r="C20" s="3">
        <v>0.58944444444444444</v>
      </c>
      <c r="D20" s="3">
        <v>0.59009259259259261</v>
      </c>
      <c r="E20" s="3"/>
      <c r="F20">
        <v>1</v>
      </c>
      <c r="G20">
        <v>19</v>
      </c>
      <c r="H20" s="8" t="str">
        <f t="shared" si="0"/>
        <v>14.08.14</v>
      </c>
      <c r="I20" s="8" t="s">
        <v>498</v>
      </c>
      <c r="J20" t="s">
        <v>484</v>
      </c>
    </row>
    <row r="21" spans="1:11" x14ac:dyDescent="0.35">
      <c r="A21" s="2">
        <v>20</v>
      </c>
      <c r="B21" s="2" t="s">
        <v>8</v>
      </c>
      <c r="C21" s="3">
        <v>0.59009259259259261</v>
      </c>
      <c r="D21" s="6">
        <v>0.59096064814814819</v>
      </c>
      <c r="E21" s="6"/>
      <c r="F21">
        <v>1</v>
      </c>
      <c r="G21">
        <v>20</v>
      </c>
      <c r="H21" s="8" t="str">
        <f t="shared" si="0"/>
        <v>14.09.12</v>
      </c>
      <c r="I21" s="8" t="s">
        <v>499</v>
      </c>
      <c r="J21" t="s">
        <v>484</v>
      </c>
    </row>
    <row r="22" spans="1:11" x14ac:dyDescent="0.35">
      <c r="A22" s="2">
        <v>21</v>
      </c>
      <c r="B22" s="5" t="s">
        <v>5</v>
      </c>
      <c r="C22" s="3">
        <v>0.56341435185185185</v>
      </c>
      <c r="D22" s="3">
        <v>0.5639467592592593</v>
      </c>
      <c r="E22" s="3"/>
      <c r="F22">
        <v>1</v>
      </c>
      <c r="G22">
        <v>21</v>
      </c>
      <c r="H22" s="8" t="s">
        <v>500</v>
      </c>
      <c r="I22" s="8" t="s">
        <v>501</v>
      </c>
    </row>
    <row r="23" spans="1:11" x14ac:dyDescent="0.35">
      <c r="A23" s="2">
        <v>22</v>
      </c>
      <c r="B23" s="2" t="s">
        <v>8</v>
      </c>
      <c r="C23" s="6">
        <v>0.56387731481481485</v>
      </c>
      <c r="D23" s="3">
        <v>0.56487268518518519</v>
      </c>
      <c r="E23" s="3"/>
      <c r="F23">
        <v>1</v>
      </c>
      <c r="G23">
        <v>22</v>
      </c>
      <c r="H23" s="8" t="str">
        <f t="shared" si="0"/>
        <v>13.31.53</v>
      </c>
      <c r="I23" s="8" t="s">
        <v>502</v>
      </c>
    </row>
    <row r="24" spans="1:11" x14ac:dyDescent="0.35">
      <c r="A24" s="2">
        <v>23</v>
      </c>
      <c r="B24" s="2" t="s">
        <v>8</v>
      </c>
      <c r="C24" s="3">
        <v>0.56487268518518519</v>
      </c>
      <c r="D24" s="3">
        <v>0.56540509259259264</v>
      </c>
      <c r="E24" s="3"/>
      <c r="F24">
        <v>1</v>
      </c>
      <c r="G24">
        <v>23</v>
      </c>
      <c r="H24" s="8" t="s">
        <v>503</v>
      </c>
      <c r="I24" s="8" t="s">
        <v>504</v>
      </c>
    </row>
    <row r="25" spans="1:11" x14ac:dyDescent="0.35">
      <c r="A25" s="2">
        <v>24</v>
      </c>
      <c r="B25" s="2" t="s">
        <v>8</v>
      </c>
      <c r="C25" s="3">
        <v>0.56540509259259264</v>
      </c>
      <c r="D25" s="3">
        <v>0.5659143518518519</v>
      </c>
      <c r="E25" s="3"/>
      <c r="F25">
        <v>1</v>
      </c>
      <c r="G25">
        <v>24</v>
      </c>
      <c r="H25" s="8" t="str">
        <f t="shared" si="0"/>
        <v>13.34.01</v>
      </c>
      <c r="I25" s="8" t="s">
        <v>505</v>
      </c>
    </row>
    <row r="26" spans="1:11" x14ac:dyDescent="0.35">
      <c r="A26" s="2">
        <v>25</v>
      </c>
      <c r="B26" s="2" t="s">
        <v>8</v>
      </c>
      <c r="C26" s="3">
        <v>0.5659143518518519</v>
      </c>
      <c r="D26" s="3">
        <v>0.56642361111111106</v>
      </c>
      <c r="E26" s="3"/>
      <c r="F26">
        <v>1</v>
      </c>
      <c r="G26">
        <v>25</v>
      </c>
      <c r="H26" s="8" t="str">
        <f t="shared" si="0"/>
        <v>13.34.45</v>
      </c>
      <c r="I26" s="8" t="s">
        <v>506</v>
      </c>
    </row>
    <row r="27" spans="1:11" x14ac:dyDescent="0.35">
      <c r="A27" s="2">
        <v>26</v>
      </c>
      <c r="B27" s="2" t="s">
        <v>8</v>
      </c>
      <c r="C27" s="3">
        <v>0.56642361111111106</v>
      </c>
      <c r="D27" s="3">
        <v>0.56693287037037032</v>
      </c>
      <c r="E27" s="3"/>
      <c r="F27">
        <v>1</v>
      </c>
      <c r="G27">
        <v>26</v>
      </c>
      <c r="H27" s="8" t="str">
        <f t="shared" si="0"/>
        <v>13.35.27</v>
      </c>
      <c r="I27" s="8" t="s">
        <v>507</v>
      </c>
    </row>
    <row r="28" spans="1:11" x14ac:dyDescent="0.35">
      <c r="A28" s="2">
        <v>27</v>
      </c>
      <c r="B28" s="2" t="s">
        <v>8</v>
      </c>
      <c r="C28" s="3">
        <v>0.56693287037037032</v>
      </c>
      <c r="D28" s="3">
        <v>0.56744212962962959</v>
      </c>
      <c r="E28" s="3"/>
      <c r="F28">
        <v>1</v>
      </c>
      <c r="G28">
        <v>27</v>
      </c>
      <c r="H28" s="8" t="str">
        <f t="shared" si="0"/>
        <v>13.36.12</v>
      </c>
      <c r="I28" s="8" t="s">
        <v>508</v>
      </c>
    </row>
    <row r="29" spans="1:11" x14ac:dyDescent="0.35">
      <c r="A29" s="2">
        <v>28</v>
      </c>
      <c r="B29" s="2" t="s">
        <v>8</v>
      </c>
      <c r="C29" s="3">
        <v>0.56744212962962959</v>
      </c>
      <c r="D29" s="3">
        <v>0.56799768518518523</v>
      </c>
      <c r="E29" s="3"/>
      <c r="F29">
        <v>1</v>
      </c>
      <c r="G29">
        <v>28</v>
      </c>
      <c r="H29" s="8" t="str">
        <f t="shared" si="0"/>
        <v>13.36.56</v>
      </c>
      <c r="I29" s="8" t="s">
        <v>509</v>
      </c>
    </row>
    <row r="30" spans="1:11" x14ac:dyDescent="0.35">
      <c r="A30" s="2">
        <v>29</v>
      </c>
      <c r="B30" s="2" t="s">
        <v>8</v>
      </c>
      <c r="C30" s="3">
        <v>0.56799768518518523</v>
      </c>
      <c r="D30" s="3">
        <v>0.5685069444444445</v>
      </c>
      <c r="E30" s="3"/>
      <c r="F30">
        <v>1</v>
      </c>
      <c r="G30">
        <v>29</v>
      </c>
      <c r="H30" s="8" t="str">
        <f t="shared" si="0"/>
        <v>13.37.41</v>
      </c>
      <c r="I30" s="8" t="s">
        <v>510</v>
      </c>
    </row>
    <row r="31" spans="1:11" x14ac:dyDescent="0.35">
      <c r="A31" s="2">
        <v>30</v>
      </c>
      <c r="B31" s="2" t="s">
        <v>8</v>
      </c>
      <c r="C31" s="3">
        <v>0.5685069444444445</v>
      </c>
      <c r="D31" s="3">
        <v>0.56903935185185184</v>
      </c>
      <c r="E31" s="3"/>
      <c r="F31">
        <v>1</v>
      </c>
      <c r="G31">
        <v>30</v>
      </c>
      <c r="H31" s="8" t="str">
        <f t="shared" si="0"/>
        <v>13.38.27</v>
      </c>
      <c r="I31" s="8" t="s">
        <v>511</v>
      </c>
    </row>
    <row r="32" spans="1:11" x14ac:dyDescent="0.35">
      <c r="A32" s="2">
        <v>31</v>
      </c>
      <c r="B32" s="2" t="s">
        <v>8</v>
      </c>
      <c r="C32" s="3">
        <v>0.56903935185185184</v>
      </c>
      <c r="D32" s="3">
        <v>0.57406250000000003</v>
      </c>
      <c r="E32" s="3"/>
      <c r="F32">
        <v>1</v>
      </c>
      <c r="G32">
        <v>31</v>
      </c>
      <c r="H32" s="8" t="s">
        <v>511</v>
      </c>
      <c r="I32" s="8" t="s">
        <v>512</v>
      </c>
      <c r="J32" t="s">
        <v>484</v>
      </c>
      <c r="K32" t="s">
        <v>513</v>
      </c>
    </row>
    <row r="33" spans="1:10" x14ac:dyDescent="0.35">
      <c r="A33" s="2">
        <v>32</v>
      </c>
      <c r="B33" s="2" t="s">
        <v>8</v>
      </c>
      <c r="C33" s="3">
        <v>0.57406250000000003</v>
      </c>
      <c r="D33" s="3">
        <v>0.57695601851851852</v>
      </c>
      <c r="E33" s="3"/>
      <c r="F33">
        <v>1</v>
      </c>
      <c r="G33">
        <v>32</v>
      </c>
      <c r="H33" s="8" t="s">
        <v>514</v>
      </c>
      <c r="I33" s="8" t="s">
        <v>515</v>
      </c>
    </row>
    <row r="34" spans="1:10" x14ac:dyDescent="0.35">
      <c r="A34" s="2">
        <v>33</v>
      </c>
      <c r="B34" s="2" t="s">
        <v>8</v>
      </c>
      <c r="C34" s="3">
        <v>0.57695601851851852</v>
      </c>
      <c r="D34" s="3">
        <v>0.57755787037037032</v>
      </c>
      <c r="E34" s="3"/>
      <c r="F34">
        <v>1</v>
      </c>
      <c r="G34">
        <v>33</v>
      </c>
      <c r="H34" s="8" t="str">
        <f t="shared" ref="H34:H35" si="1">I33</f>
        <v>13.51.23</v>
      </c>
      <c r="I34" s="8" t="s">
        <v>516</v>
      </c>
    </row>
    <row r="35" spans="1:10" x14ac:dyDescent="0.35">
      <c r="A35" s="2">
        <v>34</v>
      </c>
      <c r="B35" s="2" t="s">
        <v>8</v>
      </c>
      <c r="C35" s="3">
        <v>0.57755787037037032</v>
      </c>
      <c r="D35" s="3">
        <v>0.57811342592592596</v>
      </c>
      <c r="E35" s="3"/>
      <c r="F35">
        <v>1</v>
      </c>
      <c r="G35">
        <v>34</v>
      </c>
      <c r="H35" s="8" t="str">
        <f t="shared" si="1"/>
        <v>13.52.16</v>
      </c>
      <c r="I35" s="8" t="s">
        <v>517</v>
      </c>
    </row>
    <row r="36" spans="1:10" x14ac:dyDescent="0.35">
      <c r="A36" s="2">
        <v>35</v>
      </c>
      <c r="B36" s="2" t="s">
        <v>8</v>
      </c>
      <c r="C36" s="3">
        <v>0.57811342592592596</v>
      </c>
      <c r="D36" s="3">
        <v>0.57934027777777775</v>
      </c>
      <c r="E36" s="3"/>
      <c r="F36">
        <v>1</v>
      </c>
      <c r="G36">
        <v>35</v>
      </c>
      <c r="H36" s="8" t="s">
        <v>520</v>
      </c>
      <c r="I36" s="8" t="s">
        <v>521</v>
      </c>
      <c r="J36" t="s">
        <v>519</v>
      </c>
    </row>
    <row r="37" spans="1:10" x14ac:dyDescent="0.35">
      <c r="A37" s="2">
        <v>36</v>
      </c>
      <c r="B37" s="5" t="s">
        <v>7</v>
      </c>
      <c r="C37" s="3">
        <v>0.57934027777777775</v>
      </c>
      <c r="D37" s="6">
        <v>0.57975694444444448</v>
      </c>
      <c r="E37" s="6"/>
      <c r="F37">
        <v>2</v>
      </c>
      <c r="G37">
        <v>36</v>
      </c>
      <c r="H37" s="8" t="s">
        <v>522</v>
      </c>
      <c r="I37" s="8" t="s">
        <v>523</v>
      </c>
    </row>
    <row r="38" spans="1:10" x14ac:dyDescent="0.35">
      <c r="A38" s="2">
        <v>37</v>
      </c>
      <c r="B38" s="2" t="s">
        <v>6</v>
      </c>
      <c r="C38" s="3">
        <v>0.58156249999999998</v>
      </c>
      <c r="D38" s="3">
        <v>0.58200231481481479</v>
      </c>
      <c r="E38" s="3"/>
      <c r="F38">
        <v>2</v>
      </c>
      <c r="G38">
        <v>37</v>
      </c>
      <c r="H38" s="8" t="str">
        <f t="shared" ref="H38:H101" si="2">I37</f>
        <v>13.57.56</v>
      </c>
      <c r="I38" s="8" t="s">
        <v>524</v>
      </c>
    </row>
    <row r="39" spans="1:10" x14ac:dyDescent="0.35">
      <c r="A39" s="2">
        <v>38</v>
      </c>
      <c r="B39" s="2" t="s">
        <v>7</v>
      </c>
      <c r="C39" s="3">
        <v>0.58200231481481479</v>
      </c>
      <c r="D39" s="3">
        <v>0.58251157407407406</v>
      </c>
      <c r="E39" s="3"/>
      <c r="F39">
        <v>2</v>
      </c>
      <c r="G39">
        <v>38</v>
      </c>
      <c r="H39" s="8" t="str">
        <f t="shared" si="2"/>
        <v>13.58.33</v>
      </c>
      <c r="I39" s="8" t="s">
        <v>525</v>
      </c>
    </row>
    <row r="40" spans="1:10" x14ac:dyDescent="0.35">
      <c r="A40" s="2">
        <v>39</v>
      </c>
      <c r="B40" s="2" t="s">
        <v>8</v>
      </c>
      <c r="C40" s="3">
        <v>0.58251157407407406</v>
      </c>
      <c r="D40" s="3">
        <v>0.58297453703703705</v>
      </c>
      <c r="E40" s="3"/>
      <c r="F40">
        <v>2</v>
      </c>
      <c r="G40">
        <v>39</v>
      </c>
      <c r="H40" s="8" t="str">
        <f t="shared" si="2"/>
        <v>13.59.16</v>
      </c>
      <c r="I40" s="8" t="s">
        <v>526</v>
      </c>
    </row>
    <row r="41" spans="1:10" x14ac:dyDescent="0.35">
      <c r="A41" s="2">
        <v>40</v>
      </c>
      <c r="B41" s="2" t="s">
        <v>8</v>
      </c>
      <c r="C41" s="3">
        <v>0.58297453703703705</v>
      </c>
      <c r="D41" s="3">
        <v>0.58343750000000005</v>
      </c>
      <c r="E41" s="3"/>
      <c r="F41">
        <v>2</v>
      </c>
      <c r="G41">
        <v>40</v>
      </c>
      <c r="H41" s="8" t="str">
        <f t="shared" si="2"/>
        <v>13.59.58</v>
      </c>
      <c r="I41" s="8" t="s">
        <v>527</v>
      </c>
    </row>
    <row r="42" spans="1:10" x14ac:dyDescent="0.35">
      <c r="A42" s="2">
        <v>41</v>
      </c>
      <c r="B42" s="2" t="s">
        <v>8</v>
      </c>
      <c r="C42" s="3">
        <v>0.58343750000000005</v>
      </c>
      <c r="D42" s="3">
        <v>0.58394675925925921</v>
      </c>
      <c r="E42" s="3"/>
      <c r="F42">
        <v>2</v>
      </c>
      <c r="G42">
        <v>41</v>
      </c>
      <c r="H42" s="8" t="str">
        <f t="shared" si="2"/>
        <v>14.00.39</v>
      </c>
      <c r="I42" s="8" t="s">
        <v>528</v>
      </c>
    </row>
    <row r="43" spans="1:10" x14ac:dyDescent="0.35">
      <c r="A43" s="2">
        <v>42</v>
      </c>
      <c r="B43" s="2" t="s">
        <v>8</v>
      </c>
      <c r="C43" s="3">
        <v>0.58394675925925921</v>
      </c>
      <c r="D43" s="3">
        <v>0.58443287037037039</v>
      </c>
      <c r="E43" s="3"/>
      <c r="F43">
        <v>2</v>
      </c>
      <c r="G43">
        <v>42</v>
      </c>
      <c r="H43" s="8" t="str">
        <f t="shared" si="2"/>
        <v>14.01.24</v>
      </c>
      <c r="I43" s="8" t="s">
        <v>529</v>
      </c>
    </row>
    <row r="44" spans="1:10" x14ac:dyDescent="0.35">
      <c r="A44" s="2">
        <v>43</v>
      </c>
      <c r="B44" s="2" t="s">
        <v>8</v>
      </c>
      <c r="C44" s="3">
        <v>0.58443287037037039</v>
      </c>
      <c r="D44" s="3">
        <v>0.58494212962962966</v>
      </c>
      <c r="E44" s="3"/>
      <c r="F44">
        <v>2</v>
      </c>
      <c r="G44">
        <v>43</v>
      </c>
      <c r="H44" s="8" t="str">
        <f t="shared" si="2"/>
        <v>14.02.07</v>
      </c>
      <c r="I44" s="8" t="s">
        <v>530</v>
      </c>
    </row>
    <row r="45" spans="1:10" x14ac:dyDescent="0.35">
      <c r="A45" s="2">
        <v>44</v>
      </c>
      <c r="B45" s="2" t="s">
        <v>8</v>
      </c>
      <c r="C45" s="3">
        <v>0.58494212962962966</v>
      </c>
      <c r="D45" s="3">
        <v>0.58554398148148146</v>
      </c>
      <c r="E45" s="3"/>
      <c r="F45">
        <v>2</v>
      </c>
      <c r="G45">
        <v>44</v>
      </c>
      <c r="H45" s="8" t="str">
        <f t="shared" si="2"/>
        <v>14.02.56</v>
      </c>
      <c r="I45" s="8" t="s">
        <v>531</v>
      </c>
    </row>
    <row r="46" spans="1:10" x14ac:dyDescent="0.35">
      <c r="A46" s="2">
        <v>45</v>
      </c>
      <c r="B46" s="2" t="s">
        <v>8</v>
      </c>
      <c r="C46" s="3">
        <v>0.58554398148148146</v>
      </c>
      <c r="D46" s="3">
        <v>0.58605324074074072</v>
      </c>
      <c r="E46" s="3"/>
      <c r="F46">
        <v>2</v>
      </c>
      <c r="G46">
        <v>45</v>
      </c>
      <c r="H46" s="8" t="str">
        <f t="shared" si="2"/>
        <v>14.03.42</v>
      </c>
      <c r="I46" s="8" t="s">
        <v>532</v>
      </c>
    </row>
    <row r="47" spans="1:10" x14ac:dyDescent="0.35">
      <c r="A47" s="2">
        <v>46</v>
      </c>
      <c r="B47" s="2" t="s">
        <v>8</v>
      </c>
      <c r="C47" s="3">
        <v>0.58605324074074072</v>
      </c>
      <c r="D47" s="3">
        <v>0.58656249999999999</v>
      </c>
      <c r="E47" s="3"/>
      <c r="F47">
        <v>2</v>
      </c>
      <c r="G47">
        <v>46</v>
      </c>
      <c r="H47" s="8" t="str">
        <f t="shared" si="2"/>
        <v>14.04.27</v>
      </c>
      <c r="I47" s="8" t="s">
        <v>533</v>
      </c>
    </row>
    <row r="48" spans="1:10" x14ac:dyDescent="0.35">
      <c r="A48" s="2">
        <v>47</v>
      </c>
      <c r="B48" s="2" t="s">
        <v>8</v>
      </c>
      <c r="C48" s="3">
        <v>0.58633101851851854</v>
      </c>
      <c r="D48" s="3">
        <v>0.58711805555555552</v>
      </c>
      <c r="E48" s="3"/>
      <c r="F48">
        <v>2</v>
      </c>
      <c r="G48">
        <v>47</v>
      </c>
      <c r="H48" s="8" t="str">
        <f t="shared" si="2"/>
        <v>14.05.13</v>
      </c>
      <c r="I48" s="8" t="s">
        <v>534</v>
      </c>
    </row>
    <row r="49" spans="1:10" x14ac:dyDescent="0.35">
      <c r="A49" s="2">
        <v>48</v>
      </c>
      <c r="B49" s="2" t="s">
        <v>8</v>
      </c>
      <c r="C49" s="3">
        <v>0.58711805555555552</v>
      </c>
      <c r="D49" s="3">
        <v>0.58765046296296297</v>
      </c>
      <c r="E49" s="3"/>
      <c r="F49">
        <v>2</v>
      </c>
      <c r="G49">
        <v>48</v>
      </c>
      <c r="H49" s="8" t="str">
        <f t="shared" si="2"/>
        <v>14.06.01</v>
      </c>
      <c r="I49" s="8" t="s">
        <v>535</v>
      </c>
    </row>
    <row r="50" spans="1:10" x14ac:dyDescent="0.35">
      <c r="A50" s="2">
        <v>49</v>
      </c>
      <c r="B50" s="2" t="s">
        <v>8</v>
      </c>
      <c r="C50" s="3">
        <v>0.58765046296296297</v>
      </c>
      <c r="D50" s="3">
        <v>0.58827546296296296</v>
      </c>
      <c r="E50" s="3"/>
      <c r="F50">
        <v>2</v>
      </c>
      <c r="G50">
        <v>49</v>
      </c>
      <c r="H50" s="8" t="str">
        <f t="shared" si="2"/>
        <v>14.06.54</v>
      </c>
      <c r="I50" s="8" t="s">
        <v>536</v>
      </c>
    </row>
    <row r="51" spans="1:10" x14ac:dyDescent="0.35">
      <c r="A51" s="2">
        <v>50</v>
      </c>
      <c r="B51" s="2" t="s">
        <v>8</v>
      </c>
      <c r="C51" s="3">
        <v>0.58827546296296296</v>
      </c>
      <c r="D51" s="3">
        <v>0.58883101851851849</v>
      </c>
      <c r="E51" s="3"/>
      <c r="F51">
        <v>2</v>
      </c>
      <c r="G51">
        <v>50</v>
      </c>
      <c r="H51" s="8" t="str">
        <f t="shared" si="2"/>
        <v>14.07.40</v>
      </c>
      <c r="I51" s="8" t="s">
        <v>537</v>
      </c>
    </row>
    <row r="52" spans="1:10" x14ac:dyDescent="0.35">
      <c r="A52" s="2">
        <v>51</v>
      </c>
      <c r="B52" s="2" t="s">
        <v>8</v>
      </c>
      <c r="C52" s="3">
        <v>0.58883101851851849</v>
      </c>
      <c r="D52" s="3">
        <v>0.58938657407407402</v>
      </c>
      <c r="E52" s="3"/>
      <c r="F52">
        <v>2</v>
      </c>
      <c r="G52">
        <v>51</v>
      </c>
      <c r="H52" s="8" t="str">
        <f t="shared" si="2"/>
        <v>14.08.30</v>
      </c>
      <c r="I52" s="8" t="s">
        <v>538</v>
      </c>
    </row>
    <row r="53" spans="1:10" x14ac:dyDescent="0.35">
      <c r="A53" s="2">
        <v>52</v>
      </c>
      <c r="B53" s="2" t="s">
        <v>8</v>
      </c>
      <c r="C53" s="3">
        <v>0.58938657407407402</v>
      </c>
      <c r="D53" s="3">
        <v>0.58991898148148147</v>
      </c>
      <c r="E53" s="3"/>
      <c r="F53">
        <v>2</v>
      </c>
      <c r="G53">
        <v>52</v>
      </c>
      <c r="H53" s="8" t="str">
        <f t="shared" si="2"/>
        <v>14.09.20</v>
      </c>
      <c r="I53" s="8" t="s">
        <v>539</v>
      </c>
      <c r="J53" t="s">
        <v>519</v>
      </c>
    </row>
    <row r="54" spans="1:10" x14ac:dyDescent="0.35">
      <c r="A54" s="2">
        <v>53</v>
      </c>
      <c r="B54" s="5" t="s">
        <v>5</v>
      </c>
      <c r="C54" s="3">
        <v>0.58991898148148147</v>
      </c>
      <c r="D54" s="6">
        <v>0.5912384259259259</v>
      </c>
      <c r="E54" s="6"/>
      <c r="F54">
        <v>2</v>
      </c>
      <c r="G54">
        <v>53</v>
      </c>
      <c r="H54" s="8" t="s">
        <v>540</v>
      </c>
      <c r="I54" s="8" t="s">
        <v>541</v>
      </c>
    </row>
    <row r="55" spans="1:10" x14ac:dyDescent="0.35">
      <c r="A55" s="5">
        <v>54</v>
      </c>
      <c r="B55" s="5" t="s">
        <v>5</v>
      </c>
      <c r="C55" s="6">
        <v>0.5921643518518519</v>
      </c>
      <c r="D55" s="6">
        <v>0.59260416666666671</v>
      </c>
      <c r="E55" s="6"/>
      <c r="F55">
        <v>2</v>
      </c>
      <c r="G55">
        <v>54</v>
      </c>
      <c r="H55" s="8" t="str">
        <f t="shared" si="2"/>
        <v>14.13.18</v>
      </c>
      <c r="I55" s="8" t="s">
        <v>542</v>
      </c>
    </row>
    <row r="56" spans="1:10" x14ac:dyDescent="0.35">
      <c r="A56" s="5">
        <v>55</v>
      </c>
      <c r="B56" s="5" t="s">
        <v>8</v>
      </c>
      <c r="C56" s="6">
        <v>0.59265046296296298</v>
      </c>
      <c r="D56" s="6">
        <v>0.59309027777777779</v>
      </c>
      <c r="E56" s="6"/>
      <c r="F56">
        <v>2</v>
      </c>
      <c r="G56">
        <v>55</v>
      </c>
      <c r="H56" s="8" t="str">
        <f t="shared" si="2"/>
        <v>14.13.58</v>
      </c>
      <c r="I56" s="8" t="s">
        <v>543</v>
      </c>
    </row>
    <row r="57" spans="1:10" x14ac:dyDescent="0.35">
      <c r="A57" s="5">
        <v>56</v>
      </c>
      <c r="B57" s="5" t="s">
        <v>8</v>
      </c>
      <c r="C57" s="6">
        <v>0.59309027777777779</v>
      </c>
      <c r="D57" s="6">
        <v>0.59357638888888886</v>
      </c>
      <c r="E57" s="6"/>
      <c r="F57">
        <v>2</v>
      </c>
      <c r="G57">
        <v>56</v>
      </c>
      <c r="H57" s="8" t="str">
        <f t="shared" si="2"/>
        <v>14.14.41</v>
      </c>
      <c r="I57" s="8" t="s">
        <v>544</v>
      </c>
    </row>
    <row r="58" spans="1:10" x14ac:dyDescent="0.35">
      <c r="A58" s="5">
        <v>57</v>
      </c>
      <c r="B58" s="5" t="s">
        <v>8</v>
      </c>
      <c r="C58" s="6">
        <v>0.59357638888888886</v>
      </c>
      <c r="D58" s="6">
        <v>0.59401620370370367</v>
      </c>
      <c r="E58" s="6"/>
      <c r="F58">
        <v>2</v>
      </c>
      <c r="G58">
        <v>57</v>
      </c>
      <c r="H58" s="8" t="str">
        <f t="shared" si="2"/>
        <v>14.15.20</v>
      </c>
      <c r="I58" s="8" t="s">
        <v>545</v>
      </c>
    </row>
    <row r="59" spans="1:10" x14ac:dyDescent="0.35">
      <c r="A59" s="5">
        <v>58</v>
      </c>
      <c r="B59" s="5" t="s">
        <v>8</v>
      </c>
      <c r="C59" s="6">
        <v>0.59401620370370367</v>
      </c>
      <c r="D59" s="6">
        <v>0.59445601851851848</v>
      </c>
      <c r="E59" s="6"/>
      <c r="F59">
        <v>2</v>
      </c>
      <c r="G59">
        <v>58</v>
      </c>
      <c r="H59" s="8" t="str">
        <f t="shared" si="2"/>
        <v>14.15.58</v>
      </c>
      <c r="I59" s="8" t="s">
        <v>546</v>
      </c>
    </row>
    <row r="60" spans="1:10" x14ac:dyDescent="0.35">
      <c r="A60" s="2">
        <v>59</v>
      </c>
      <c r="B60" s="3" t="s">
        <v>8</v>
      </c>
      <c r="C60" s="6">
        <v>0.59445601851851848</v>
      </c>
      <c r="D60" s="3">
        <v>0.59501157407407412</v>
      </c>
      <c r="E60" s="3"/>
      <c r="F60">
        <v>2</v>
      </c>
      <c r="G60">
        <v>59</v>
      </c>
      <c r="H60" s="8" t="str">
        <f t="shared" si="2"/>
        <v>14.16.37</v>
      </c>
      <c r="I60" s="8" t="s">
        <v>547</v>
      </c>
    </row>
    <row r="61" spans="1:10" x14ac:dyDescent="0.35">
      <c r="A61" s="2">
        <v>60</v>
      </c>
      <c r="B61" s="2" t="s">
        <v>8</v>
      </c>
      <c r="C61" s="3">
        <v>0.59501157407407412</v>
      </c>
      <c r="D61" s="3">
        <v>0.59550925925925924</v>
      </c>
      <c r="E61" s="3"/>
      <c r="F61">
        <v>2</v>
      </c>
      <c r="G61">
        <v>60</v>
      </c>
      <c r="H61" s="8" t="str">
        <f t="shared" si="2"/>
        <v>14.17.15</v>
      </c>
      <c r="I61" s="8" t="s">
        <v>548</v>
      </c>
    </row>
    <row r="62" spans="1:10" x14ac:dyDescent="0.35">
      <c r="A62" s="2">
        <v>61</v>
      </c>
      <c r="B62" s="2" t="s">
        <v>8</v>
      </c>
      <c r="C62" s="3">
        <v>0.59550925925925924</v>
      </c>
      <c r="D62" s="3">
        <v>0.59593750000000001</v>
      </c>
      <c r="E62" s="3"/>
      <c r="F62">
        <v>2</v>
      </c>
      <c r="G62">
        <v>61</v>
      </c>
      <c r="H62" s="8" t="str">
        <f t="shared" si="2"/>
        <v>14.17.56</v>
      </c>
      <c r="I62" s="8" t="s">
        <v>549</v>
      </c>
    </row>
    <row r="63" spans="1:10" x14ac:dyDescent="0.35">
      <c r="A63" s="2">
        <v>62</v>
      </c>
      <c r="B63" s="2" t="s">
        <v>8</v>
      </c>
      <c r="C63" s="3">
        <v>0.59593750000000001</v>
      </c>
      <c r="D63" s="3">
        <v>0.59644675925925927</v>
      </c>
      <c r="E63" s="3"/>
      <c r="F63">
        <v>2</v>
      </c>
      <c r="G63">
        <v>62</v>
      </c>
      <c r="H63" s="8" t="str">
        <f t="shared" si="2"/>
        <v>14.18.33</v>
      </c>
      <c r="I63" s="8" t="s">
        <v>550</v>
      </c>
    </row>
    <row r="64" spans="1:10" x14ac:dyDescent="0.35">
      <c r="A64" s="2">
        <v>63</v>
      </c>
      <c r="B64" s="2" t="s">
        <v>8</v>
      </c>
      <c r="C64" s="3">
        <v>0.59644675925925927</v>
      </c>
      <c r="D64" s="3">
        <v>0.59684027777777782</v>
      </c>
      <c r="E64" s="3"/>
      <c r="F64">
        <v>2</v>
      </c>
      <c r="G64">
        <v>63</v>
      </c>
      <c r="H64" s="8" t="str">
        <f t="shared" si="2"/>
        <v>14.19.16</v>
      </c>
      <c r="I64" s="8" t="s">
        <v>551</v>
      </c>
    </row>
    <row r="65" spans="1:10" x14ac:dyDescent="0.35">
      <c r="A65" s="2">
        <v>64</v>
      </c>
      <c r="B65" s="2" t="s">
        <v>8</v>
      </c>
      <c r="C65" s="3">
        <v>0.59684027777777782</v>
      </c>
      <c r="D65" s="3">
        <v>0.59725694444444444</v>
      </c>
      <c r="E65" s="3"/>
      <c r="F65">
        <v>2</v>
      </c>
      <c r="G65">
        <v>64</v>
      </c>
      <c r="H65" s="8" t="str">
        <f t="shared" si="2"/>
        <v>14.19.50</v>
      </c>
      <c r="I65" s="8" t="s">
        <v>552</v>
      </c>
    </row>
    <row r="66" spans="1:10" x14ac:dyDescent="0.35">
      <c r="A66" s="2">
        <v>65</v>
      </c>
      <c r="B66" s="2" t="s">
        <v>8</v>
      </c>
      <c r="C66" s="3">
        <v>0.59725694444444444</v>
      </c>
      <c r="D66" s="3">
        <v>0.59767361111111106</v>
      </c>
      <c r="E66" s="3"/>
      <c r="F66">
        <v>2</v>
      </c>
      <c r="G66">
        <v>65</v>
      </c>
      <c r="H66" s="8" t="str">
        <f t="shared" si="2"/>
        <v>14.20.27</v>
      </c>
      <c r="I66" s="8" t="s">
        <v>553</v>
      </c>
    </row>
    <row r="67" spans="1:10" x14ac:dyDescent="0.35">
      <c r="A67" s="2">
        <v>66</v>
      </c>
      <c r="B67" s="2" t="s">
        <v>8</v>
      </c>
      <c r="C67" s="3">
        <v>0.59767361111111106</v>
      </c>
      <c r="D67" s="3">
        <v>0.5980671296296296</v>
      </c>
      <c r="E67" s="3"/>
      <c r="F67">
        <v>2</v>
      </c>
      <c r="G67">
        <v>66</v>
      </c>
      <c r="H67" s="8" t="str">
        <f t="shared" si="2"/>
        <v>14.21.02</v>
      </c>
      <c r="I67" s="8" t="s">
        <v>554</v>
      </c>
    </row>
    <row r="68" spans="1:10" x14ac:dyDescent="0.35">
      <c r="A68" s="2">
        <v>67</v>
      </c>
      <c r="B68" s="2" t="s">
        <v>8</v>
      </c>
      <c r="C68" s="3">
        <v>0.5980671296296296</v>
      </c>
      <c r="D68" s="3">
        <v>0.59859953703703705</v>
      </c>
      <c r="E68" s="3"/>
      <c r="F68">
        <v>2</v>
      </c>
      <c r="G68">
        <v>67</v>
      </c>
      <c r="H68" s="8" t="str">
        <f t="shared" si="2"/>
        <v>14.21.47</v>
      </c>
      <c r="I68" s="8" t="s">
        <v>555</v>
      </c>
    </row>
    <row r="69" spans="1:10" x14ac:dyDescent="0.35">
      <c r="A69" s="2">
        <v>68</v>
      </c>
      <c r="B69" s="2" t="s">
        <v>8</v>
      </c>
      <c r="C69" s="3">
        <v>0.59859953703703705</v>
      </c>
      <c r="D69" s="3">
        <v>0.59901620370370368</v>
      </c>
      <c r="E69" s="3"/>
      <c r="F69">
        <v>2</v>
      </c>
      <c r="G69">
        <v>68</v>
      </c>
      <c r="H69" s="8" t="str">
        <f t="shared" si="2"/>
        <v>14.22.23</v>
      </c>
      <c r="I69" s="8" t="s">
        <v>556</v>
      </c>
    </row>
    <row r="70" spans="1:10" x14ac:dyDescent="0.35">
      <c r="A70" s="2">
        <v>69</v>
      </c>
      <c r="B70" s="2" t="s">
        <v>8</v>
      </c>
      <c r="C70" s="3">
        <v>0.59901620370370368</v>
      </c>
      <c r="D70" s="3">
        <v>0.59943287037037041</v>
      </c>
      <c r="E70" s="3"/>
      <c r="F70">
        <v>2</v>
      </c>
      <c r="G70">
        <v>69</v>
      </c>
      <c r="H70" s="8" t="str">
        <f t="shared" si="2"/>
        <v>14.23.00</v>
      </c>
      <c r="I70" s="8" t="s">
        <v>557</v>
      </c>
    </row>
    <row r="71" spans="1:10" x14ac:dyDescent="0.35">
      <c r="A71" s="2">
        <v>70</v>
      </c>
      <c r="B71" s="2" t="s">
        <v>8</v>
      </c>
      <c r="C71" s="3">
        <v>0.59943287037037041</v>
      </c>
      <c r="D71" s="6">
        <v>0.5997569444444445</v>
      </c>
      <c r="E71" s="6"/>
      <c r="F71">
        <v>3</v>
      </c>
      <c r="G71">
        <v>70</v>
      </c>
      <c r="H71" s="8" t="s">
        <v>558</v>
      </c>
      <c r="I71" s="8" t="s">
        <v>559</v>
      </c>
    </row>
    <row r="72" spans="1:10" x14ac:dyDescent="0.35">
      <c r="A72" s="2">
        <v>71</v>
      </c>
      <c r="B72" s="2" t="s">
        <v>6</v>
      </c>
      <c r="C72" s="3">
        <v>0.63096064814814812</v>
      </c>
      <c r="D72" s="3">
        <v>0.63146990740740738</v>
      </c>
      <c r="E72" s="3"/>
      <c r="F72">
        <v>3</v>
      </c>
      <c r="G72">
        <v>71</v>
      </c>
      <c r="H72" s="8" t="str">
        <f t="shared" si="2"/>
        <v>15.09.10</v>
      </c>
      <c r="I72" s="8" t="s">
        <v>560</v>
      </c>
    </row>
    <row r="73" spans="1:10" x14ac:dyDescent="0.35">
      <c r="A73" s="2">
        <v>72</v>
      </c>
      <c r="B73" s="2" t="s">
        <v>7</v>
      </c>
      <c r="C73" s="3">
        <v>0.63146990740740738</v>
      </c>
      <c r="D73" s="3">
        <v>0.63211805555555556</v>
      </c>
      <c r="E73" s="3"/>
      <c r="F73">
        <v>3</v>
      </c>
      <c r="G73">
        <v>72</v>
      </c>
      <c r="H73" s="8" t="s">
        <v>561</v>
      </c>
      <c r="I73" s="8" t="s">
        <v>562</v>
      </c>
    </row>
    <row r="74" spans="1:10" x14ac:dyDescent="0.35">
      <c r="A74" s="2">
        <v>73</v>
      </c>
      <c r="B74" s="2" t="s">
        <v>8</v>
      </c>
      <c r="C74" s="3">
        <v>0.63211805555555556</v>
      </c>
      <c r="D74" s="3">
        <v>0.63253472222222218</v>
      </c>
      <c r="E74" s="3"/>
      <c r="F74">
        <v>3</v>
      </c>
      <c r="G74">
        <v>73</v>
      </c>
      <c r="H74" s="8" t="str">
        <f t="shared" si="2"/>
        <v>15.10.42</v>
      </c>
      <c r="I74" s="8" t="s">
        <v>563</v>
      </c>
    </row>
    <row r="75" spans="1:10" x14ac:dyDescent="0.35">
      <c r="A75" s="2">
        <v>74</v>
      </c>
      <c r="B75" s="2" t="s">
        <v>8</v>
      </c>
      <c r="C75" s="3">
        <v>0.63253472222222218</v>
      </c>
      <c r="D75" s="3">
        <v>0.63299768518518518</v>
      </c>
      <c r="E75" s="3"/>
      <c r="F75">
        <v>3</v>
      </c>
      <c r="G75">
        <v>74</v>
      </c>
      <c r="H75" s="8" t="str">
        <f t="shared" si="2"/>
        <v>15.11.20</v>
      </c>
      <c r="I75" s="8" t="s">
        <v>564</v>
      </c>
    </row>
    <row r="76" spans="1:10" x14ac:dyDescent="0.35">
      <c r="A76" s="2">
        <v>75</v>
      </c>
      <c r="B76" s="2" t="s">
        <v>8</v>
      </c>
      <c r="C76" s="3">
        <v>0.63299768518518518</v>
      </c>
      <c r="D76" s="3">
        <v>0.6334143518518518</v>
      </c>
      <c r="E76" s="3"/>
      <c r="F76">
        <v>3</v>
      </c>
      <c r="G76">
        <v>75</v>
      </c>
      <c r="H76" s="8" t="str">
        <f t="shared" si="2"/>
        <v>15.11.58</v>
      </c>
      <c r="I76" s="8" t="s">
        <v>565</v>
      </c>
    </row>
    <row r="77" spans="1:10" x14ac:dyDescent="0.35">
      <c r="A77" s="2">
        <v>76</v>
      </c>
      <c r="B77" s="2" t="s">
        <v>8</v>
      </c>
      <c r="C77" s="3">
        <v>0.6334143518518518</v>
      </c>
      <c r="D77" s="3">
        <v>0.63380787037037034</v>
      </c>
      <c r="E77" s="3"/>
      <c r="F77">
        <v>3</v>
      </c>
      <c r="G77">
        <v>76</v>
      </c>
      <c r="H77" s="8" t="str">
        <f t="shared" si="2"/>
        <v>15.12.31</v>
      </c>
      <c r="I77" s="8" t="s">
        <v>566</v>
      </c>
    </row>
    <row r="78" spans="1:10" x14ac:dyDescent="0.35">
      <c r="A78" s="2">
        <v>77</v>
      </c>
      <c r="B78" s="2" t="s">
        <v>8</v>
      </c>
      <c r="C78" s="3">
        <v>0.63380787037037034</v>
      </c>
      <c r="D78" s="3">
        <v>0.63443287037037033</v>
      </c>
      <c r="E78" s="3"/>
      <c r="F78">
        <v>3</v>
      </c>
      <c r="G78">
        <v>77</v>
      </c>
      <c r="H78" s="8" t="str">
        <f t="shared" si="2"/>
        <v>15.13.03</v>
      </c>
      <c r="I78" s="8" t="s">
        <v>567</v>
      </c>
      <c r="J78" t="s">
        <v>484</v>
      </c>
    </row>
    <row r="79" spans="1:10" x14ac:dyDescent="0.35">
      <c r="A79" s="2">
        <v>78</v>
      </c>
      <c r="B79" s="2" t="s">
        <v>8</v>
      </c>
      <c r="C79" s="3">
        <v>0.63443287037037033</v>
      </c>
      <c r="D79" s="3">
        <v>0.635162037037037</v>
      </c>
      <c r="E79" s="3"/>
      <c r="F79">
        <v>3</v>
      </c>
      <c r="G79">
        <v>78</v>
      </c>
      <c r="H79" s="8" t="str">
        <f t="shared" si="2"/>
        <v>15.13.59</v>
      </c>
      <c r="I79" s="8" t="s">
        <v>568</v>
      </c>
      <c r="J79" t="s">
        <v>484</v>
      </c>
    </row>
    <row r="80" spans="1:10" x14ac:dyDescent="0.35">
      <c r="A80" s="2">
        <v>79</v>
      </c>
      <c r="B80" s="2" t="s">
        <v>8</v>
      </c>
      <c r="C80" s="3">
        <v>0.635162037037037</v>
      </c>
      <c r="D80" s="3">
        <v>0.6355439814814815</v>
      </c>
      <c r="E80" s="3"/>
      <c r="F80">
        <v>3</v>
      </c>
      <c r="G80">
        <v>79</v>
      </c>
      <c r="H80" s="8" t="str">
        <f t="shared" si="2"/>
        <v>15.15.02</v>
      </c>
      <c r="I80" s="8" t="s">
        <v>365</v>
      </c>
    </row>
    <row r="81" spans="1:9" x14ac:dyDescent="0.35">
      <c r="A81" s="2">
        <v>80</v>
      </c>
      <c r="B81" s="2" t="s">
        <v>8</v>
      </c>
      <c r="C81" s="3">
        <v>0.6355439814814815</v>
      </c>
      <c r="D81" s="3">
        <v>0.63590277777777782</v>
      </c>
      <c r="E81" s="3"/>
      <c r="F81">
        <v>3</v>
      </c>
      <c r="G81">
        <v>80</v>
      </c>
      <c r="H81" s="8" t="str">
        <f t="shared" si="2"/>
        <v>15.15.35</v>
      </c>
      <c r="I81" s="8" t="s">
        <v>569</v>
      </c>
    </row>
    <row r="82" spans="1:9" x14ac:dyDescent="0.35">
      <c r="A82" s="2">
        <v>81</v>
      </c>
      <c r="B82" s="2" t="s">
        <v>8</v>
      </c>
      <c r="C82" s="3">
        <v>0.63590277777777782</v>
      </c>
      <c r="D82" s="3">
        <v>0.63624999999999998</v>
      </c>
      <c r="E82" s="3"/>
      <c r="F82">
        <v>3</v>
      </c>
      <c r="G82">
        <v>81</v>
      </c>
      <c r="H82" s="8" t="str">
        <f t="shared" si="2"/>
        <v>15.16.03</v>
      </c>
      <c r="I82" s="8" t="s">
        <v>570</v>
      </c>
    </row>
    <row r="83" spans="1:9" x14ac:dyDescent="0.35">
      <c r="A83" s="2">
        <v>82</v>
      </c>
      <c r="B83" s="2" t="s">
        <v>8</v>
      </c>
      <c r="C83" s="3">
        <v>0.63624999999999998</v>
      </c>
      <c r="D83" s="3">
        <v>0.63662037037037034</v>
      </c>
      <c r="E83" s="3"/>
      <c r="F83">
        <v>3</v>
      </c>
      <c r="G83">
        <v>82</v>
      </c>
      <c r="H83" s="8" t="str">
        <f t="shared" si="2"/>
        <v>15.16.35</v>
      </c>
      <c r="I83" s="8" t="s">
        <v>571</v>
      </c>
    </row>
    <row r="84" spans="1:9" x14ac:dyDescent="0.35">
      <c r="A84" s="2">
        <v>83</v>
      </c>
      <c r="B84" s="2" t="s">
        <v>8</v>
      </c>
      <c r="C84" s="3">
        <v>0.63662037037037034</v>
      </c>
      <c r="D84" s="3">
        <v>0.63693287037037039</v>
      </c>
      <c r="E84" s="3"/>
      <c r="F84">
        <v>3</v>
      </c>
      <c r="G84">
        <v>83</v>
      </c>
      <c r="H84" s="8" t="str">
        <f t="shared" si="2"/>
        <v>15.17.05</v>
      </c>
      <c r="I84" s="8" t="s">
        <v>572</v>
      </c>
    </row>
    <row r="85" spans="1:9" x14ac:dyDescent="0.35">
      <c r="A85" s="2">
        <v>84</v>
      </c>
      <c r="B85" s="2" t="s">
        <v>8</v>
      </c>
      <c r="C85" s="3">
        <v>0.63693287037037039</v>
      </c>
      <c r="D85" s="3">
        <v>0.63728009259259255</v>
      </c>
      <c r="E85" s="3"/>
      <c r="F85">
        <v>3</v>
      </c>
      <c r="G85">
        <v>84</v>
      </c>
      <c r="H85" s="8" t="str">
        <f t="shared" si="2"/>
        <v>15.17.34</v>
      </c>
      <c r="I85" s="8" t="s">
        <v>573</v>
      </c>
    </row>
    <row r="86" spans="1:9" x14ac:dyDescent="0.35">
      <c r="A86" s="2">
        <v>85</v>
      </c>
      <c r="B86" s="2" t="s">
        <v>8</v>
      </c>
      <c r="C86" s="3">
        <v>0.63728009259259255</v>
      </c>
      <c r="D86" s="3">
        <v>0.63760416666666664</v>
      </c>
      <c r="E86" s="3"/>
      <c r="F86">
        <v>3</v>
      </c>
      <c r="G86">
        <v>85</v>
      </c>
      <c r="H86" s="8" t="str">
        <f t="shared" si="2"/>
        <v>15.18.03</v>
      </c>
      <c r="I86" s="8" t="s">
        <v>574</v>
      </c>
    </row>
    <row r="87" spans="1:9" x14ac:dyDescent="0.35">
      <c r="A87" s="2">
        <v>86</v>
      </c>
      <c r="B87" s="2" t="s">
        <v>8</v>
      </c>
      <c r="C87" s="3">
        <v>0.63760416666666664</v>
      </c>
      <c r="D87" s="3">
        <v>0.63792824074074073</v>
      </c>
      <c r="E87" s="3"/>
      <c r="F87">
        <v>3</v>
      </c>
      <c r="G87">
        <v>86</v>
      </c>
      <c r="H87" s="8" t="str">
        <f t="shared" si="2"/>
        <v>15.18.31</v>
      </c>
      <c r="I87" s="8" t="s">
        <v>575</v>
      </c>
    </row>
    <row r="88" spans="1:9" x14ac:dyDescent="0.35">
      <c r="A88" s="2">
        <v>87</v>
      </c>
      <c r="B88" s="2" t="s">
        <v>8</v>
      </c>
      <c r="C88" s="3">
        <v>0.63792824074074073</v>
      </c>
      <c r="D88" s="3">
        <v>0.63832175925925927</v>
      </c>
      <c r="E88" s="3"/>
      <c r="F88">
        <v>3</v>
      </c>
      <c r="G88">
        <v>87</v>
      </c>
      <c r="H88" s="8" t="str">
        <f t="shared" si="2"/>
        <v>15.18.57</v>
      </c>
      <c r="I88" s="8" t="s">
        <v>576</v>
      </c>
    </row>
    <row r="89" spans="1:9" x14ac:dyDescent="0.35">
      <c r="A89" s="2">
        <v>88</v>
      </c>
      <c r="B89" s="2" t="s">
        <v>8</v>
      </c>
      <c r="C89" s="3">
        <v>0.63832175925925927</v>
      </c>
      <c r="D89" s="3">
        <v>0.63878472222222227</v>
      </c>
      <c r="E89" s="3"/>
      <c r="F89">
        <v>3</v>
      </c>
      <c r="G89">
        <v>88</v>
      </c>
      <c r="H89" s="8" t="str">
        <f t="shared" si="2"/>
        <v>15.19.32</v>
      </c>
      <c r="I89" s="8" t="s">
        <v>577</v>
      </c>
    </row>
    <row r="90" spans="1:9" x14ac:dyDescent="0.35">
      <c r="A90" s="2">
        <v>89</v>
      </c>
      <c r="B90" s="2" t="s">
        <v>8</v>
      </c>
      <c r="C90" s="3">
        <v>0.63878472222222227</v>
      </c>
      <c r="D90" s="6">
        <v>0.63952546296296298</v>
      </c>
      <c r="E90" s="6"/>
      <c r="F90">
        <v>3</v>
      </c>
      <c r="G90">
        <v>89</v>
      </c>
      <c r="H90" s="8" t="s">
        <v>578</v>
      </c>
      <c r="I90" s="8" t="s">
        <v>579</v>
      </c>
    </row>
    <row r="91" spans="1:9" x14ac:dyDescent="0.35">
      <c r="A91" s="2">
        <v>90</v>
      </c>
      <c r="B91" s="5" t="s">
        <v>5</v>
      </c>
      <c r="C91" s="3">
        <v>0.6401041666666667</v>
      </c>
      <c r="D91" s="3">
        <v>0.64072916666666668</v>
      </c>
      <c r="E91" s="3"/>
      <c r="F91">
        <v>3</v>
      </c>
      <c r="G91">
        <v>90</v>
      </c>
      <c r="H91" s="8" t="str">
        <f t="shared" si="2"/>
        <v>15.22.17</v>
      </c>
      <c r="I91" s="8" t="s">
        <v>580</v>
      </c>
    </row>
    <row r="92" spans="1:9" x14ac:dyDescent="0.35">
      <c r="A92" s="2">
        <v>91</v>
      </c>
      <c r="B92" s="2" t="s">
        <v>8</v>
      </c>
      <c r="C92" s="3">
        <v>0.64072916666666668</v>
      </c>
      <c r="D92" s="3">
        <v>0.64126157407407403</v>
      </c>
      <c r="E92" s="3"/>
      <c r="F92">
        <v>3</v>
      </c>
      <c r="G92">
        <v>91</v>
      </c>
      <c r="H92" s="8" t="str">
        <f t="shared" si="2"/>
        <v>15.23.13</v>
      </c>
      <c r="I92" s="8" t="s">
        <v>581</v>
      </c>
    </row>
    <row r="93" spans="1:9" x14ac:dyDescent="0.35">
      <c r="A93" s="2">
        <v>92</v>
      </c>
      <c r="B93" s="2" t="s">
        <v>8</v>
      </c>
      <c r="C93" s="3">
        <v>0.64126157407407403</v>
      </c>
      <c r="D93" s="3">
        <v>0.64172453703703702</v>
      </c>
      <c r="E93" s="3"/>
      <c r="F93">
        <v>3</v>
      </c>
      <c r="G93">
        <v>92</v>
      </c>
      <c r="H93" s="8" t="str">
        <f t="shared" si="2"/>
        <v>15.23.55</v>
      </c>
      <c r="I93" s="8" t="s">
        <v>582</v>
      </c>
    </row>
    <row r="94" spans="1:9" x14ac:dyDescent="0.35">
      <c r="A94" s="2">
        <v>93</v>
      </c>
      <c r="B94" s="2" t="s">
        <v>8</v>
      </c>
      <c r="C94" s="3">
        <v>0.64172453703703702</v>
      </c>
      <c r="D94" s="3">
        <v>0.64215277777777779</v>
      </c>
      <c r="E94" s="3"/>
      <c r="F94">
        <v>3</v>
      </c>
      <c r="G94">
        <v>93</v>
      </c>
      <c r="H94" s="8" t="str">
        <f t="shared" si="2"/>
        <v>15.24.32</v>
      </c>
      <c r="I94" s="8" t="s">
        <v>583</v>
      </c>
    </row>
    <row r="95" spans="1:9" x14ac:dyDescent="0.35">
      <c r="A95" s="2">
        <v>94</v>
      </c>
      <c r="B95" s="2" t="s">
        <v>8</v>
      </c>
      <c r="C95" s="3">
        <v>0.64215277777777779</v>
      </c>
      <c r="D95" s="3">
        <v>0.64258101851851857</v>
      </c>
      <c r="E95" s="3"/>
      <c r="F95">
        <v>3</v>
      </c>
      <c r="G95">
        <v>94</v>
      </c>
      <c r="H95" s="8" t="str">
        <f t="shared" si="2"/>
        <v>15.25.09</v>
      </c>
      <c r="I95" s="8" t="s">
        <v>584</v>
      </c>
    </row>
    <row r="96" spans="1:9" x14ac:dyDescent="0.35">
      <c r="A96" s="2">
        <v>95</v>
      </c>
      <c r="B96" s="2" t="s">
        <v>8</v>
      </c>
      <c r="C96" s="3">
        <v>0.64258101851851857</v>
      </c>
      <c r="D96" s="3">
        <v>0.64304398148148145</v>
      </c>
      <c r="E96" s="3"/>
      <c r="F96">
        <v>3</v>
      </c>
      <c r="G96">
        <v>95</v>
      </c>
      <c r="H96" s="8" t="str">
        <f t="shared" si="2"/>
        <v>15.25.50</v>
      </c>
      <c r="I96" s="8" t="s">
        <v>585</v>
      </c>
    </row>
    <row r="97" spans="1:10" x14ac:dyDescent="0.35">
      <c r="A97" s="2">
        <v>96</v>
      </c>
      <c r="B97" s="2" t="s">
        <v>8</v>
      </c>
      <c r="C97" s="3">
        <v>0.64304398148148145</v>
      </c>
      <c r="D97" s="3">
        <v>0.64350694444444445</v>
      </c>
      <c r="E97" s="3"/>
      <c r="F97">
        <v>3</v>
      </c>
      <c r="G97">
        <v>96</v>
      </c>
      <c r="H97" s="8" t="str">
        <f t="shared" si="2"/>
        <v>15.26.30</v>
      </c>
      <c r="I97" s="8" t="s">
        <v>586</v>
      </c>
    </row>
    <row r="98" spans="1:10" x14ac:dyDescent="0.35">
      <c r="A98" s="2">
        <v>97</v>
      </c>
      <c r="B98" s="2" t="s">
        <v>8</v>
      </c>
      <c r="C98" s="3">
        <v>0.64350694444444445</v>
      </c>
      <c r="D98" s="3">
        <v>0.64399305555555553</v>
      </c>
      <c r="E98" s="3"/>
      <c r="F98">
        <v>3</v>
      </c>
      <c r="G98">
        <v>97</v>
      </c>
      <c r="H98" s="8" t="str">
        <f t="shared" si="2"/>
        <v>15.27.09</v>
      </c>
      <c r="I98" s="8" t="s">
        <v>587</v>
      </c>
    </row>
    <row r="99" spans="1:10" x14ac:dyDescent="0.35">
      <c r="A99" s="2">
        <v>98</v>
      </c>
      <c r="B99" s="2" t="s">
        <v>8</v>
      </c>
      <c r="C99" s="3">
        <v>0.64399305555555553</v>
      </c>
      <c r="D99" s="3">
        <v>0.64445601851851853</v>
      </c>
      <c r="E99" s="3"/>
      <c r="F99">
        <v>3</v>
      </c>
      <c r="G99">
        <v>98</v>
      </c>
      <c r="H99" s="8" t="str">
        <f t="shared" si="2"/>
        <v>15.27.51</v>
      </c>
      <c r="I99" s="8" t="s">
        <v>588</v>
      </c>
    </row>
    <row r="100" spans="1:10" x14ac:dyDescent="0.35">
      <c r="A100" s="2">
        <v>99</v>
      </c>
      <c r="B100" s="2" t="s">
        <v>8</v>
      </c>
      <c r="C100" s="3">
        <v>0.64445601851851853</v>
      </c>
      <c r="D100" s="3">
        <v>0.6449421296296296</v>
      </c>
      <c r="E100" s="3"/>
      <c r="F100">
        <v>3</v>
      </c>
      <c r="G100">
        <v>99</v>
      </c>
      <c r="H100" s="8" t="str">
        <f t="shared" si="2"/>
        <v>15.28.35</v>
      </c>
      <c r="I100" s="8" t="s">
        <v>589</v>
      </c>
    </row>
    <row r="101" spans="1:10" x14ac:dyDescent="0.35">
      <c r="A101" s="2">
        <v>100</v>
      </c>
      <c r="B101" s="2" t="s">
        <v>8</v>
      </c>
      <c r="C101" s="3">
        <v>0.6449421296296296</v>
      </c>
      <c r="D101" s="3">
        <v>0.64538194444444441</v>
      </c>
      <c r="E101" s="3"/>
      <c r="F101">
        <v>3</v>
      </c>
      <c r="G101">
        <v>100</v>
      </c>
      <c r="H101" s="8" t="str">
        <f t="shared" si="2"/>
        <v>15.29.12</v>
      </c>
      <c r="I101" s="8" t="s">
        <v>590</v>
      </c>
    </row>
    <row r="102" spans="1:10" x14ac:dyDescent="0.35">
      <c r="A102" s="2">
        <v>101</v>
      </c>
      <c r="B102" s="2" t="s">
        <v>8</v>
      </c>
      <c r="C102" s="3">
        <v>0.64538194444444441</v>
      </c>
      <c r="D102" s="3">
        <v>0.64584490740740741</v>
      </c>
      <c r="E102" s="3"/>
      <c r="F102">
        <v>3</v>
      </c>
      <c r="G102">
        <v>101</v>
      </c>
      <c r="H102" s="8" t="str">
        <f t="shared" ref="H102:H137" si="3">I101</f>
        <v>15.29.52</v>
      </c>
      <c r="I102" s="8" t="s">
        <v>591</v>
      </c>
    </row>
    <row r="103" spans="1:10" x14ac:dyDescent="0.35">
      <c r="A103" s="2">
        <v>102</v>
      </c>
      <c r="B103" s="2" t="s">
        <v>8</v>
      </c>
      <c r="C103" s="3">
        <v>0.64584490740740741</v>
      </c>
      <c r="D103" s="3">
        <v>0.64628472222222222</v>
      </c>
      <c r="E103" s="3"/>
      <c r="F103">
        <v>3</v>
      </c>
      <c r="G103">
        <v>102</v>
      </c>
      <c r="H103" s="8" t="str">
        <f t="shared" si="3"/>
        <v>15.30.31</v>
      </c>
      <c r="I103" s="8" t="s">
        <v>592</v>
      </c>
    </row>
    <row r="104" spans="1:10" x14ac:dyDescent="0.35">
      <c r="A104" s="2">
        <v>103</v>
      </c>
      <c r="B104" s="2" t="s">
        <v>8</v>
      </c>
      <c r="C104" s="3">
        <v>0.64628472222222222</v>
      </c>
      <c r="D104" s="3">
        <v>0.64692129629629624</v>
      </c>
      <c r="E104" s="3"/>
      <c r="F104">
        <v>3</v>
      </c>
      <c r="G104">
        <v>103</v>
      </c>
      <c r="H104" s="8" t="str">
        <f t="shared" si="3"/>
        <v>15.31.10</v>
      </c>
      <c r="I104" s="8" t="s">
        <v>593</v>
      </c>
      <c r="J104" t="s">
        <v>519</v>
      </c>
    </row>
    <row r="105" spans="1:10" x14ac:dyDescent="0.35">
      <c r="A105" s="2">
        <v>104</v>
      </c>
      <c r="B105" s="5" t="s">
        <v>7</v>
      </c>
      <c r="C105" s="3">
        <v>0.64692129629629624</v>
      </c>
      <c r="D105" s="6">
        <v>0.64732638888888894</v>
      </c>
      <c r="E105" s="6"/>
      <c r="F105">
        <v>4</v>
      </c>
      <c r="G105">
        <v>104</v>
      </c>
      <c r="H105" s="8" t="s">
        <v>594</v>
      </c>
      <c r="I105" s="8" t="s">
        <v>595</v>
      </c>
      <c r="J105" t="s">
        <v>484</v>
      </c>
    </row>
    <row r="106" spans="1:10" x14ac:dyDescent="0.35">
      <c r="A106" s="2">
        <v>105</v>
      </c>
      <c r="B106" s="2" t="s">
        <v>6</v>
      </c>
      <c r="C106" s="3">
        <v>0.64959490740740744</v>
      </c>
      <c r="D106" s="3">
        <v>0.65003472222222225</v>
      </c>
      <c r="E106" s="3"/>
      <c r="F106">
        <v>4</v>
      </c>
      <c r="G106">
        <v>105</v>
      </c>
      <c r="H106" s="8" t="str">
        <f t="shared" si="3"/>
        <v>15.35.52</v>
      </c>
      <c r="I106" s="8" t="s">
        <v>596</v>
      </c>
    </row>
    <row r="107" spans="1:10" x14ac:dyDescent="0.35">
      <c r="A107" s="2">
        <v>106</v>
      </c>
      <c r="B107" s="2" t="s">
        <v>7</v>
      </c>
      <c r="C107" s="3">
        <v>0.65003472222222225</v>
      </c>
      <c r="D107" s="3">
        <v>0.65061342592592597</v>
      </c>
      <c r="E107" s="3"/>
      <c r="F107">
        <v>4</v>
      </c>
      <c r="G107">
        <v>106</v>
      </c>
      <c r="H107" s="8" t="str">
        <f t="shared" si="3"/>
        <v>15.36.45</v>
      </c>
      <c r="I107" s="8" t="s">
        <v>597</v>
      </c>
    </row>
    <row r="108" spans="1:10" x14ac:dyDescent="0.35">
      <c r="A108" s="2">
        <v>107</v>
      </c>
      <c r="B108" s="2" t="s">
        <v>8</v>
      </c>
      <c r="C108" s="3">
        <v>0.65061342592592597</v>
      </c>
      <c r="D108" s="3">
        <v>0.65103009259259259</v>
      </c>
      <c r="E108" s="3"/>
      <c r="F108">
        <v>4</v>
      </c>
      <c r="G108">
        <v>107</v>
      </c>
      <c r="H108" s="8" t="str">
        <f t="shared" si="3"/>
        <v>15.37.20</v>
      </c>
      <c r="I108" s="8" t="s">
        <v>598</v>
      </c>
    </row>
    <row r="109" spans="1:10" x14ac:dyDescent="0.35">
      <c r="A109" s="2">
        <v>108</v>
      </c>
      <c r="B109" s="2" t="s">
        <v>8</v>
      </c>
      <c r="C109" s="3">
        <v>0.65103009259259259</v>
      </c>
      <c r="D109" s="3">
        <v>0.65140046296296295</v>
      </c>
      <c r="E109" s="3"/>
      <c r="F109">
        <v>4</v>
      </c>
      <c r="G109">
        <v>108</v>
      </c>
      <c r="H109" s="8" t="str">
        <f t="shared" si="3"/>
        <v>15.37.54</v>
      </c>
      <c r="I109" s="8" t="s">
        <v>599</v>
      </c>
    </row>
    <row r="110" spans="1:10" x14ac:dyDescent="0.35">
      <c r="A110" s="2">
        <v>109</v>
      </c>
      <c r="B110" s="2" t="s">
        <v>8</v>
      </c>
      <c r="C110" s="3">
        <v>0.65140046296296295</v>
      </c>
      <c r="D110" s="3">
        <v>0.65181712962962968</v>
      </c>
      <c r="E110" s="3"/>
      <c r="F110">
        <v>4</v>
      </c>
      <c r="G110">
        <v>109</v>
      </c>
      <c r="H110" s="8" t="str">
        <f t="shared" si="3"/>
        <v>15.38.27</v>
      </c>
      <c r="I110" s="8" t="s">
        <v>600</v>
      </c>
    </row>
    <row r="111" spans="1:10" x14ac:dyDescent="0.35">
      <c r="A111" s="2">
        <v>110</v>
      </c>
      <c r="B111" s="2" t="s">
        <v>8</v>
      </c>
      <c r="C111" s="3">
        <v>0.65181712962962968</v>
      </c>
      <c r="D111" s="3">
        <v>0.6522337962962963</v>
      </c>
      <c r="E111" s="3"/>
      <c r="F111">
        <v>4</v>
      </c>
      <c r="G111">
        <v>110</v>
      </c>
      <c r="H111" s="8" t="str">
        <f t="shared" si="3"/>
        <v>15.39.05</v>
      </c>
      <c r="I111" s="8" t="s">
        <v>601</v>
      </c>
    </row>
    <row r="112" spans="1:10" x14ac:dyDescent="0.35">
      <c r="A112" s="2">
        <v>111</v>
      </c>
      <c r="B112" s="2" t="s">
        <v>8</v>
      </c>
      <c r="C112" s="3">
        <v>0.6522337962962963</v>
      </c>
      <c r="D112" s="3">
        <v>0.65265046296296292</v>
      </c>
      <c r="E112" s="3"/>
      <c r="F112">
        <v>4</v>
      </c>
      <c r="G112">
        <v>111</v>
      </c>
      <c r="H112" s="8" t="str">
        <f t="shared" si="3"/>
        <v>15.39.40</v>
      </c>
      <c r="I112" s="8" t="s">
        <v>602</v>
      </c>
    </row>
    <row r="113" spans="1:10" x14ac:dyDescent="0.35">
      <c r="A113" s="2">
        <v>112</v>
      </c>
      <c r="B113" s="2" t="s">
        <v>8</v>
      </c>
      <c r="C113" s="3">
        <v>0.65265046296296292</v>
      </c>
      <c r="D113" s="3">
        <v>0.65306712962962965</v>
      </c>
      <c r="E113" s="3"/>
      <c r="F113">
        <v>4</v>
      </c>
      <c r="G113">
        <v>112</v>
      </c>
      <c r="H113" s="8" t="str">
        <f t="shared" si="3"/>
        <v>15.40.17</v>
      </c>
      <c r="I113" s="8" t="s">
        <v>603</v>
      </c>
    </row>
    <row r="114" spans="1:10" x14ac:dyDescent="0.35">
      <c r="A114" s="2">
        <v>113</v>
      </c>
      <c r="B114" s="2" t="s">
        <v>8</v>
      </c>
      <c r="C114" s="3">
        <v>0.65306712962962965</v>
      </c>
      <c r="D114" s="3">
        <v>0.65350694444444446</v>
      </c>
      <c r="E114" s="3"/>
      <c r="F114">
        <v>4</v>
      </c>
      <c r="G114">
        <v>113</v>
      </c>
      <c r="H114" s="8" t="str">
        <f t="shared" si="3"/>
        <v>15.40.54</v>
      </c>
      <c r="I114" s="8" t="s">
        <v>604</v>
      </c>
    </row>
    <row r="115" spans="1:10" x14ac:dyDescent="0.35">
      <c r="A115" s="2">
        <v>114</v>
      </c>
      <c r="B115" s="2" t="s">
        <v>8</v>
      </c>
      <c r="C115" s="3">
        <v>0.65350694444444446</v>
      </c>
      <c r="D115" s="3">
        <v>0.65394675925925927</v>
      </c>
      <c r="E115" s="3"/>
      <c r="F115">
        <v>4</v>
      </c>
      <c r="G115">
        <v>114</v>
      </c>
      <c r="H115" s="8" t="str">
        <f t="shared" si="3"/>
        <v>15.41.31</v>
      </c>
      <c r="I115" s="8" t="s">
        <v>605</v>
      </c>
    </row>
    <row r="116" spans="1:10" x14ac:dyDescent="0.35">
      <c r="A116" s="2">
        <v>115</v>
      </c>
      <c r="B116" s="2" t="s">
        <v>8</v>
      </c>
      <c r="C116" s="3">
        <v>0.65394675925925927</v>
      </c>
      <c r="D116" s="3">
        <v>0.65436342592592589</v>
      </c>
      <c r="E116" s="3"/>
      <c r="F116">
        <v>4</v>
      </c>
      <c r="G116">
        <v>115</v>
      </c>
      <c r="H116" s="8" t="str">
        <f t="shared" si="3"/>
        <v>15.42.08</v>
      </c>
      <c r="I116" s="8" t="s">
        <v>606</v>
      </c>
    </row>
    <row r="117" spans="1:10" x14ac:dyDescent="0.35">
      <c r="A117" s="2">
        <v>116</v>
      </c>
      <c r="B117" s="2" t="s">
        <v>8</v>
      </c>
      <c r="C117" s="3">
        <v>0.65436342592592589</v>
      </c>
      <c r="D117" s="3">
        <v>0.65495370370370365</v>
      </c>
      <c r="E117" s="3"/>
      <c r="F117">
        <v>4</v>
      </c>
      <c r="G117">
        <v>116</v>
      </c>
      <c r="H117" s="8" t="str">
        <f t="shared" si="3"/>
        <v>15.42.48</v>
      </c>
      <c r="I117" s="8" t="s">
        <v>607</v>
      </c>
    </row>
    <row r="118" spans="1:10" x14ac:dyDescent="0.35">
      <c r="A118" s="2">
        <v>117</v>
      </c>
      <c r="B118" s="2" t="s">
        <v>8</v>
      </c>
      <c r="C118" s="3">
        <v>0.65495370370370365</v>
      </c>
      <c r="D118" s="3">
        <v>0.65559027777777779</v>
      </c>
      <c r="E118" s="3"/>
      <c r="F118">
        <v>4</v>
      </c>
      <c r="G118">
        <v>117</v>
      </c>
      <c r="H118" s="8" t="str">
        <f t="shared" si="3"/>
        <v>15.43.40</v>
      </c>
      <c r="I118" s="8" t="s">
        <v>608</v>
      </c>
    </row>
    <row r="119" spans="1:10" x14ac:dyDescent="0.35">
      <c r="A119" s="2">
        <v>118</v>
      </c>
      <c r="B119" s="2" t="s">
        <v>8</v>
      </c>
      <c r="C119" s="3">
        <v>0.65559027777777779</v>
      </c>
      <c r="D119" s="3">
        <v>0.65605324074074078</v>
      </c>
      <c r="E119" s="3"/>
      <c r="F119">
        <v>4</v>
      </c>
      <c r="G119">
        <v>118</v>
      </c>
      <c r="H119" s="8" t="str">
        <f t="shared" si="3"/>
        <v>15.44.35</v>
      </c>
      <c r="I119" s="8" t="s">
        <v>609</v>
      </c>
    </row>
    <row r="120" spans="1:10" x14ac:dyDescent="0.35">
      <c r="A120" s="2">
        <v>119</v>
      </c>
      <c r="B120" s="2" t="s">
        <v>8</v>
      </c>
      <c r="C120" s="3">
        <v>0.65605324074074078</v>
      </c>
      <c r="D120" s="3">
        <v>0.65653935185185186</v>
      </c>
      <c r="E120" s="3"/>
      <c r="F120">
        <v>4</v>
      </c>
      <c r="G120">
        <v>119</v>
      </c>
      <c r="H120" s="8" t="str">
        <f t="shared" si="3"/>
        <v>15.45.16</v>
      </c>
      <c r="I120" s="8" t="s">
        <v>610</v>
      </c>
    </row>
    <row r="121" spans="1:10" x14ac:dyDescent="0.35">
      <c r="A121" s="2">
        <v>120</v>
      </c>
      <c r="B121" s="2" t="s">
        <v>8</v>
      </c>
      <c r="C121" s="3">
        <v>0.65653935185185186</v>
      </c>
      <c r="D121" s="3">
        <v>0.65719907407407407</v>
      </c>
      <c r="E121" s="3"/>
      <c r="F121">
        <v>4</v>
      </c>
      <c r="G121">
        <v>120</v>
      </c>
      <c r="H121" s="8" t="str">
        <f t="shared" si="3"/>
        <v>15.45.56</v>
      </c>
      <c r="I121" s="8" t="s">
        <v>611</v>
      </c>
      <c r="J121" t="s">
        <v>519</v>
      </c>
    </row>
    <row r="122" spans="1:10" x14ac:dyDescent="0.35">
      <c r="A122" s="2">
        <v>121</v>
      </c>
      <c r="B122" s="5" t="s">
        <v>5</v>
      </c>
      <c r="C122" s="3">
        <v>0.65719907407407407</v>
      </c>
      <c r="D122" s="6">
        <v>0.65767361111111111</v>
      </c>
      <c r="E122" s="6"/>
      <c r="F122">
        <v>4</v>
      </c>
      <c r="G122">
        <v>121</v>
      </c>
      <c r="H122" s="8" t="s">
        <v>393</v>
      </c>
      <c r="I122" s="8" t="s">
        <v>612</v>
      </c>
    </row>
    <row r="123" spans="1:10" x14ac:dyDescent="0.35">
      <c r="A123" s="2">
        <v>122</v>
      </c>
      <c r="B123" s="5" t="s">
        <v>5</v>
      </c>
      <c r="C123" s="3">
        <v>0.65929398148148144</v>
      </c>
      <c r="D123" s="3">
        <v>0.65971064814814817</v>
      </c>
      <c r="E123" s="3"/>
      <c r="F123">
        <v>4</v>
      </c>
      <c r="G123">
        <v>122</v>
      </c>
      <c r="H123" s="8" t="str">
        <f t="shared" si="3"/>
        <v>15.49.49</v>
      </c>
      <c r="I123" s="8" t="s">
        <v>613</v>
      </c>
    </row>
    <row r="124" spans="1:10" x14ac:dyDescent="0.35">
      <c r="A124" s="2">
        <v>123</v>
      </c>
      <c r="B124" s="2" t="s">
        <v>8</v>
      </c>
      <c r="C124" s="3">
        <v>0.65971064814814817</v>
      </c>
      <c r="D124" s="3">
        <v>0.66011574074074075</v>
      </c>
      <c r="E124" s="3"/>
      <c r="F124">
        <v>4</v>
      </c>
      <c r="G124">
        <v>123</v>
      </c>
      <c r="H124" s="8" t="str">
        <f t="shared" si="3"/>
        <v>15.50.23</v>
      </c>
      <c r="I124" s="8" t="s">
        <v>614</v>
      </c>
    </row>
    <row r="125" spans="1:10" x14ac:dyDescent="0.35">
      <c r="A125" s="2">
        <v>124</v>
      </c>
      <c r="B125" s="2" t="s">
        <v>8</v>
      </c>
      <c r="C125" s="3">
        <v>0.66011574074074075</v>
      </c>
      <c r="D125" s="3">
        <v>0.66059027777777779</v>
      </c>
      <c r="E125" s="3"/>
      <c r="F125">
        <v>4</v>
      </c>
      <c r="G125">
        <v>124</v>
      </c>
      <c r="H125" s="8" t="str">
        <f t="shared" si="3"/>
        <v>15.51.05</v>
      </c>
      <c r="I125" s="8" t="s">
        <v>615</v>
      </c>
    </row>
    <row r="126" spans="1:10" x14ac:dyDescent="0.35">
      <c r="A126" s="2">
        <v>125</v>
      </c>
      <c r="B126" s="2" t="s">
        <v>8</v>
      </c>
      <c r="C126" s="3">
        <v>0.66059027777777779</v>
      </c>
      <c r="D126" s="3">
        <v>0.66096064814814814</v>
      </c>
      <c r="E126" s="3"/>
      <c r="F126">
        <v>4</v>
      </c>
      <c r="G126">
        <v>125</v>
      </c>
      <c r="H126" s="8" t="str">
        <f t="shared" si="3"/>
        <v>15.51.39</v>
      </c>
      <c r="I126" s="8" t="s">
        <v>616</v>
      </c>
    </row>
    <row r="127" spans="1:10" x14ac:dyDescent="0.35">
      <c r="A127" s="2">
        <v>126</v>
      </c>
      <c r="B127" s="2" t="s">
        <v>8</v>
      </c>
      <c r="C127" s="3">
        <v>0.66096064814814814</v>
      </c>
      <c r="D127" s="3">
        <v>0.66134259259259254</v>
      </c>
      <c r="E127" s="3"/>
      <c r="F127">
        <v>4</v>
      </c>
      <c r="G127">
        <v>126</v>
      </c>
      <c r="H127" s="8" t="str">
        <f t="shared" si="3"/>
        <v>15.52.11</v>
      </c>
      <c r="I127" s="8" t="s">
        <v>398</v>
      </c>
    </row>
    <row r="128" spans="1:10" x14ac:dyDescent="0.35">
      <c r="A128" s="2">
        <v>127</v>
      </c>
      <c r="B128" s="2" t="s">
        <v>8</v>
      </c>
      <c r="C128" s="3">
        <v>0.66134259259259254</v>
      </c>
      <c r="D128" s="3">
        <v>0.66172453703703704</v>
      </c>
      <c r="E128" s="3"/>
      <c r="F128">
        <v>4</v>
      </c>
      <c r="G128">
        <v>127</v>
      </c>
      <c r="H128" s="8" t="str">
        <f t="shared" si="3"/>
        <v>15.52.44</v>
      </c>
      <c r="I128" s="8" t="s">
        <v>617</v>
      </c>
    </row>
    <row r="129" spans="1:9" x14ac:dyDescent="0.35">
      <c r="A129" s="2">
        <v>128</v>
      </c>
      <c r="B129" s="2" t="s">
        <v>8</v>
      </c>
      <c r="C129" s="3">
        <v>0.66172453703703704</v>
      </c>
      <c r="D129" s="3">
        <v>0.66208333333333336</v>
      </c>
      <c r="E129" s="3"/>
      <c r="F129">
        <v>4</v>
      </c>
      <c r="G129">
        <v>128</v>
      </c>
      <c r="H129" s="8" t="str">
        <f t="shared" si="3"/>
        <v>15.53.16</v>
      </c>
      <c r="I129" s="8" t="s">
        <v>618</v>
      </c>
    </row>
    <row r="130" spans="1:9" x14ac:dyDescent="0.35">
      <c r="A130" s="2">
        <v>129</v>
      </c>
      <c r="B130" s="2" t="s">
        <v>8</v>
      </c>
      <c r="C130" s="3">
        <v>0.66208333333333336</v>
      </c>
      <c r="D130" s="3">
        <v>0.66245370370370371</v>
      </c>
      <c r="E130" s="3"/>
      <c r="F130">
        <v>4</v>
      </c>
      <c r="G130">
        <v>129</v>
      </c>
      <c r="H130" s="8" t="str">
        <f t="shared" si="3"/>
        <v>15.53.47</v>
      </c>
      <c r="I130" s="8" t="s">
        <v>619</v>
      </c>
    </row>
    <row r="131" spans="1:9" x14ac:dyDescent="0.35">
      <c r="A131" s="2">
        <v>130</v>
      </c>
      <c r="B131" s="2" t="s">
        <v>8</v>
      </c>
      <c r="C131" s="3">
        <v>0.66245370370370371</v>
      </c>
      <c r="D131" s="3">
        <v>0.66282407407407407</v>
      </c>
      <c r="E131" s="3"/>
      <c r="F131">
        <v>4</v>
      </c>
      <c r="G131">
        <v>130</v>
      </c>
      <c r="H131" s="8" t="str">
        <f t="shared" si="3"/>
        <v>15.54.19</v>
      </c>
      <c r="I131" s="8" t="s">
        <v>620</v>
      </c>
    </row>
    <row r="132" spans="1:9" x14ac:dyDescent="0.35">
      <c r="A132" s="2">
        <v>131</v>
      </c>
      <c r="B132" s="2" t="s">
        <v>8</v>
      </c>
      <c r="C132" s="3">
        <v>0.66282407407407407</v>
      </c>
      <c r="D132" s="3">
        <v>0.66314814814814815</v>
      </c>
      <c r="E132" s="3"/>
      <c r="F132">
        <v>4</v>
      </c>
      <c r="G132">
        <v>131</v>
      </c>
      <c r="H132" s="8" t="str">
        <f t="shared" si="3"/>
        <v>15.54.49</v>
      </c>
      <c r="I132" s="8" t="s">
        <v>621</v>
      </c>
    </row>
    <row r="133" spans="1:9" x14ac:dyDescent="0.35">
      <c r="A133" s="2">
        <v>132</v>
      </c>
      <c r="B133" s="2" t="s">
        <v>8</v>
      </c>
      <c r="C133" s="3">
        <v>0.66314814814814815</v>
      </c>
      <c r="D133" s="3">
        <v>0.66349537037037032</v>
      </c>
      <c r="E133" s="3"/>
      <c r="F133">
        <v>4</v>
      </c>
      <c r="G133">
        <v>132</v>
      </c>
      <c r="H133" s="8" t="str">
        <f t="shared" si="3"/>
        <v>15.55.18</v>
      </c>
      <c r="I133" s="8" t="s">
        <v>622</v>
      </c>
    </row>
    <row r="134" spans="1:9" x14ac:dyDescent="0.35">
      <c r="A134" s="2">
        <v>133</v>
      </c>
      <c r="B134" s="2" t="s">
        <v>8</v>
      </c>
      <c r="C134" s="3">
        <v>0.66349537037037032</v>
      </c>
      <c r="D134" s="3">
        <v>0.66385416666666663</v>
      </c>
      <c r="E134" s="3"/>
      <c r="F134">
        <v>4</v>
      </c>
      <c r="G134">
        <v>133</v>
      </c>
      <c r="H134" s="8" t="str">
        <f t="shared" si="3"/>
        <v>15.55.49</v>
      </c>
      <c r="I134" s="8" t="s">
        <v>623</v>
      </c>
    </row>
    <row r="135" spans="1:9" x14ac:dyDescent="0.35">
      <c r="A135" s="2">
        <v>134</v>
      </c>
      <c r="B135" s="2" t="s">
        <v>8</v>
      </c>
      <c r="C135" s="3">
        <v>0.66385416666666663</v>
      </c>
      <c r="D135" s="3">
        <v>0.6642824074074074</v>
      </c>
      <c r="E135" s="3"/>
      <c r="F135">
        <v>4</v>
      </c>
      <c r="G135">
        <v>134</v>
      </c>
      <c r="H135" s="8" t="str">
        <f t="shared" si="3"/>
        <v>15.56.19</v>
      </c>
      <c r="I135" s="8" t="s">
        <v>624</v>
      </c>
    </row>
    <row r="136" spans="1:9" x14ac:dyDescent="0.35">
      <c r="A136" s="2">
        <v>135</v>
      </c>
      <c r="B136" s="2" t="s">
        <v>8</v>
      </c>
      <c r="C136" s="3">
        <v>0.6642824074074074</v>
      </c>
      <c r="D136" s="3">
        <v>0.66460648148148149</v>
      </c>
      <c r="E136" s="3"/>
      <c r="F136">
        <v>4</v>
      </c>
      <c r="G136">
        <v>135</v>
      </c>
      <c r="H136" s="8" t="str">
        <f t="shared" si="3"/>
        <v>15.56.55</v>
      </c>
      <c r="I136" s="8" t="s">
        <v>625</v>
      </c>
    </row>
    <row r="137" spans="1:9" x14ac:dyDescent="0.35">
      <c r="A137" s="2">
        <v>136</v>
      </c>
      <c r="B137" s="2" t="s">
        <v>8</v>
      </c>
      <c r="C137" s="3">
        <v>0.66460648148148149</v>
      </c>
      <c r="D137" s="6">
        <v>0.66491898148148143</v>
      </c>
      <c r="E137" s="6"/>
      <c r="F137">
        <v>4</v>
      </c>
      <c r="G137">
        <v>136</v>
      </c>
      <c r="H137" s="8" t="str">
        <f t="shared" si="3"/>
        <v>15.57.27</v>
      </c>
      <c r="I137" s="8" t="s">
        <v>626</v>
      </c>
    </row>
    <row r="138" spans="1:9" x14ac:dyDescent="0.35">
      <c r="A138" s="2">
        <v>137</v>
      </c>
      <c r="B138" s="2" t="s">
        <v>8</v>
      </c>
      <c r="C138" s="6">
        <v>0.66491898148148143</v>
      </c>
      <c r="D138" s="6">
        <v>0.66531249999999997</v>
      </c>
      <c r="E138" s="6"/>
      <c r="H138" s="8"/>
      <c r="I138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A7F0-D23C-4535-AB2D-7C8F832A4C72}">
  <dimension ref="A1:G137"/>
  <sheetViews>
    <sheetView topLeftCell="A117" zoomScale="250" zoomScaleNormal="250" workbookViewId="0">
      <selection sqref="A1:G137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>
        <v>1</v>
      </c>
      <c r="B2" s="16">
        <v>0.57784722222222218</v>
      </c>
      <c r="C2" s="16">
        <v>0.57835648148148144</v>
      </c>
      <c r="E2" s="17">
        <f>B2*86400</f>
        <v>49925.999999999993</v>
      </c>
      <c r="F2" s="17">
        <f>C2*86400</f>
        <v>49970</v>
      </c>
      <c r="G2">
        <f>F2-E2</f>
        <v>44.000000000007276</v>
      </c>
    </row>
    <row r="3" spans="1:7" x14ac:dyDescent="0.35">
      <c r="A3">
        <v>2</v>
      </c>
      <c r="B3" s="16">
        <v>0.57835648148148144</v>
      </c>
      <c r="C3" s="16">
        <v>0.57876157407407403</v>
      </c>
      <c r="E3" s="17">
        <f t="shared" ref="E3:E66" si="0">B3*86400</f>
        <v>49970</v>
      </c>
      <c r="F3" s="17">
        <f t="shared" ref="F3:F66" si="1">C3*86400</f>
        <v>50004.999999999993</v>
      </c>
      <c r="G3">
        <f t="shared" ref="G3:G66" si="2">F3-E3</f>
        <v>34.999999999992724</v>
      </c>
    </row>
    <row r="4" spans="1:7" x14ac:dyDescent="0.35">
      <c r="A4">
        <v>3</v>
      </c>
      <c r="B4" s="16">
        <v>0.57876157407407403</v>
      </c>
      <c r="C4" s="16">
        <v>0.58043981481481477</v>
      </c>
      <c r="D4" t="s">
        <v>419</v>
      </c>
      <c r="E4" s="17">
        <f t="shared" si="0"/>
        <v>50004.999999999993</v>
      </c>
      <c r="F4" s="17">
        <f t="shared" si="1"/>
        <v>50149.999999999993</v>
      </c>
      <c r="G4">
        <f t="shared" si="2"/>
        <v>145</v>
      </c>
    </row>
    <row r="5" spans="1:7" x14ac:dyDescent="0.35">
      <c r="A5">
        <v>4</v>
      </c>
      <c r="B5" s="16">
        <v>0.58043981481481477</v>
      </c>
      <c r="C5" s="16">
        <v>0.5808564814814815</v>
      </c>
      <c r="E5" s="17">
        <f t="shared" si="0"/>
        <v>50149.999999999993</v>
      </c>
      <c r="F5" s="17">
        <f t="shared" si="1"/>
        <v>50186</v>
      </c>
      <c r="G5">
        <f t="shared" si="2"/>
        <v>36.000000000007276</v>
      </c>
    </row>
    <row r="6" spans="1:7" x14ac:dyDescent="0.35">
      <c r="A6">
        <v>5</v>
      </c>
      <c r="B6" s="16">
        <v>0.5808564814814815</v>
      </c>
      <c r="C6" s="16">
        <v>0.58125000000000004</v>
      </c>
      <c r="E6" s="17">
        <f t="shared" si="0"/>
        <v>50186</v>
      </c>
      <c r="F6" s="17">
        <f t="shared" si="1"/>
        <v>50220.000000000007</v>
      </c>
      <c r="G6">
        <f t="shared" si="2"/>
        <v>34.000000000007276</v>
      </c>
    </row>
    <row r="7" spans="1:7" x14ac:dyDescent="0.35">
      <c r="A7">
        <v>6</v>
      </c>
      <c r="B7" s="16">
        <v>0.58125000000000004</v>
      </c>
      <c r="C7" s="16">
        <v>0.58236111111111111</v>
      </c>
      <c r="D7" t="s">
        <v>484</v>
      </c>
      <c r="E7" s="17">
        <f t="shared" si="0"/>
        <v>50220.000000000007</v>
      </c>
      <c r="F7" s="17">
        <f t="shared" si="1"/>
        <v>50316</v>
      </c>
      <c r="G7">
        <f t="shared" si="2"/>
        <v>95.999999999992724</v>
      </c>
    </row>
    <row r="8" spans="1:7" x14ac:dyDescent="0.35">
      <c r="A8">
        <v>7</v>
      </c>
      <c r="B8" s="16">
        <v>0.58236111111111111</v>
      </c>
      <c r="C8" s="16">
        <v>0.58275462962962965</v>
      </c>
      <c r="E8" s="17">
        <f t="shared" si="0"/>
        <v>50316</v>
      </c>
      <c r="F8" s="17">
        <f t="shared" si="1"/>
        <v>50350</v>
      </c>
      <c r="G8">
        <f t="shared" si="2"/>
        <v>34</v>
      </c>
    </row>
    <row r="9" spans="1:7" x14ac:dyDescent="0.35">
      <c r="A9">
        <v>8</v>
      </c>
      <c r="B9" s="16">
        <v>0.58275462962962965</v>
      </c>
      <c r="C9" s="16">
        <v>0.58313657407407404</v>
      </c>
      <c r="E9" s="17">
        <f t="shared" si="0"/>
        <v>50350</v>
      </c>
      <c r="F9" s="17">
        <f t="shared" si="1"/>
        <v>50383</v>
      </c>
      <c r="G9">
        <f t="shared" si="2"/>
        <v>33</v>
      </c>
    </row>
    <row r="10" spans="1:7" x14ac:dyDescent="0.35">
      <c r="A10">
        <v>9</v>
      </c>
      <c r="B10" s="16">
        <v>0.58361111111111108</v>
      </c>
      <c r="C10" s="16">
        <v>0.58402777777777781</v>
      </c>
      <c r="E10" s="17">
        <f t="shared" si="0"/>
        <v>50424</v>
      </c>
      <c r="F10" s="17">
        <f t="shared" si="1"/>
        <v>50460</v>
      </c>
      <c r="G10">
        <f t="shared" si="2"/>
        <v>36</v>
      </c>
    </row>
    <row r="11" spans="1:7" x14ac:dyDescent="0.35">
      <c r="A11">
        <v>10</v>
      </c>
      <c r="B11" s="16">
        <v>0.58402777777777781</v>
      </c>
      <c r="C11" s="16">
        <v>0.58451388888888889</v>
      </c>
      <c r="E11" s="17">
        <f t="shared" si="0"/>
        <v>50460</v>
      </c>
      <c r="F11" s="17">
        <f t="shared" si="1"/>
        <v>50502</v>
      </c>
      <c r="G11">
        <f t="shared" si="2"/>
        <v>42</v>
      </c>
    </row>
    <row r="12" spans="1:7" x14ac:dyDescent="0.35">
      <c r="A12">
        <v>11</v>
      </c>
      <c r="B12" s="16">
        <v>0.58451388888888889</v>
      </c>
      <c r="C12" s="16">
        <v>0.58488425925925924</v>
      </c>
      <c r="E12" s="17">
        <f t="shared" si="0"/>
        <v>50502</v>
      </c>
      <c r="F12" s="17">
        <f t="shared" si="1"/>
        <v>50534</v>
      </c>
      <c r="G12">
        <f t="shared" si="2"/>
        <v>32</v>
      </c>
    </row>
    <row r="13" spans="1:7" x14ac:dyDescent="0.35">
      <c r="A13">
        <v>12</v>
      </c>
      <c r="B13" s="16">
        <v>0.58488425925925924</v>
      </c>
      <c r="C13" s="16">
        <v>0.58528935185185182</v>
      </c>
      <c r="E13" s="17">
        <f t="shared" si="0"/>
        <v>50534</v>
      </c>
      <c r="F13" s="17">
        <f t="shared" si="1"/>
        <v>50569</v>
      </c>
      <c r="G13">
        <f t="shared" si="2"/>
        <v>35</v>
      </c>
    </row>
    <row r="14" spans="1:7" x14ac:dyDescent="0.35">
      <c r="A14">
        <v>13</v>
      </c>
      <c r="B14" s="16">
        <v>0.58528935185185182</v>
      </c>
      <c r="C14" s="16">
        <v>0.58565972222222218</v>
      </c>
      <c r="E14" s="17">
        <f t="shared" si="0"/>
        <v>50569</v>
      </c>
      <c r="F14" s="17">
        <f t="shared" si="1"/>
        <v>50600.999999999993</v>
      </c>
      <c r="G14">
        <f t="shared" si="2"/>
        <v>31.999999999992724</v>
      </c>
    </row>
    <row r="15" spans="1:7" x14ac:dyDescent="0.35">
      <c r="A15">
        <v>14</v>
      </c>
      <c r="B15" s="16">
        <v>0.58565972222222218</v>
      </c>
      <c r="C15" s="16">
        <v>0.58620370370370367</v>
      </c>
      <c r="E15" s="17">
        <f t="shared" si="0"/>
        <v>50600.999999999993</v>
      </c>
      <c r="F15" s="17">
        <f t="shared" si="1"/>
        <v>50648</v>
      </c>
      <c r="G15">
        <f t="shared" si="2"/>
        <v>47.000000000007276</v>
      </c>
    </row>
    <row r="16" spans="1:7" x14ac:dyDescent="0.35">
      <c r="A16">
        <v>15</v>
      </c>
      <c r="B16" s="16">
        <v>0.58620370370370367</v>
      </c>
      <c r="C16" s="16">
        <v>0.58657407407407403</v>
      </c>
      <c r="E16" s="17">
        <f t="shared" si="0"/>
        <v>50648</v>
      </c>
      <c r="F16" s="17">
        <f t="shared" si="1"/>
        <v>50679.999999999993</v>
      </c>
      <c r="G16">
        <f t="shared" si="2"/>
        <v>31.999999999992724</v>
      </c>
    </row>
    <row r="17" spans="1:7" x14ac:dyDescent="0.35">
      <c r="A17">
        <v>16</v>
      </c>
      <c r="B17" s="16">
        <v>0.58657407407407403</v>
      </c>
      <c r="C17" s="16">
        <v>0.58740740740740738</v>
      </c>
      <c r="D17" t="s">
        <v>484</v>
      </c>
      <c r="E17" s="17">
        <f t="shared" si="0"/>
        <v>50679.999999999993</v>
      </c>
      <c r="F17" s="17">
        <f t="shared" si="1"/>
        <v>50752</v>
      </c>
      <c r="G17">
        <f t="shared" si="2"/>
        <v>72.000000000007276</v>
      </c>
    </row>
    <row r="18" spans="1:7" x14ac:dyDescent="0.35">
      <c r="A18">
        <v>17</v>
      </c>
      <c r="B18" s="16">
        <v>0.58740740740740738</v>
      </c>
      <c r="C18" s="16">
        <v>0.5881481481481482</v>
      </c>
      <c r="D18" t="s">
        <v>484</v>
      </c>
      <c r="E18" s="17">
        <f t="shared" si="0"/>
        <v>50752</v>
      </c>
      <c r="F18" s="17">
        <f t="shared" si="1"/>
        <v>50816.000000000007</v>
      </c>
      <c r="G18">
        <f t="shared" si="2"/>
        <v>64.000000000007276</v>
      </c>
    </row>
    <row r="19" spans="1:7" x14ac:dyDescent="0.35">
      <c r="A19">
        <v>18</v>
      </c>
      <c r="B19" s="16">
        <v>0.5881481481481482</v>
      </c>
      <c r="C19" s="16">
        <v>0.58905092592592589</v>
      </c>
      <c r="D19" t="s">
        <v>484</v>
      </c>
      <c r="E19" s="17">
        <f t="shared" si="0"/>
        <v>50816.000000000007</v>
      </c>
      <c r="F19" s="17">
        <f t="shared" si="1"/>
        <v>50894</v>
      </c>
      <c r="G19">
        <f t="shared" si="2"/>
        <v>77.999999999992724</v>
      </c>
    </row>
    <row r="20" spans="1:7" x14ac:dyDescent="0.35">
      <c r="A20">
        <v>19</v>
      </c>
      <c r="B20" s="16">
        <v>0.58905092592592589</v>
      </c>
      <c r="C20" s="16">
        <v>0.58972222222222226</v>
      </c>
      <c r="D20" t="s">
        <v>484</v>
      </c>
      <c r="E20" s="17">
        <f t="shared" si="0"/>
        <v>50894</v>
      </c>
      <c r="F20" s="17">
        <f t="shared" si="1"/>
        <v>50952</v>
      </c>
      <c r="G20">
        <f t="shared" si="2"/>
        <v>58</v>
      </c>
    </row>
    <row r="21" spans="1:7" x14ac:dyDescent="0.35">
      <c r="A21">
        <v>20</v>
      </c>
      <c r="B21" s="16">
        <v>0.58972222222222226</v>
      </c>
      <c r="C21" s="16">
        <v>0.59120370370370368</v>
      </c>
      <c r="D21" t="s">
        <v>484</v>
      </c>
      <c r="E21" s="17">
        <f t="shared" si="0"/>
        <v>50952</v>
      </c>
      <c r="F21" s="17">
        <f t="shared" si="1"/>
        <v>51080</v>
      </c>
      <c r="G21">
        <f t="shared" si="2"/>
        <v>128</v>
      </c>
    </row>
    <row r="22" spans="1:7" x14ac:dyDescent="0.35">
      <c r="A22">
        <v>21</v>
      </c>
      <c r="B22" s="16">
        <v>0.56332175925925931</v>
      </c>
      <c r="C22" s="16">
        <v>0.56380787037037039</v>
      </c>
      <c r="E22" s="17">
        <f t="shared" si="0"/>
        <v>48671.000000000007</v>
      </c>
      <c r="F22" s="17">
        <f t="shared" si="1"/>
        <v>48713</v>
      </c>
      <c r="G22">
        <f t="shared" si="2"/>
        <v>41.999999999992724</v>
      </c>
    </row>
    <row r="23" spans="1:7" x14ac:dyDescent="0.35">
      <c r="A23">
        <v>22</v>
      </c>
      <c r="B23" s="16">
        <v>0.56380787037037039</v>
      </c>
      <c r="C23" s="16">
        <v>0.56434027777777773</v>
      </c>
      <c r="E23" s="17">
        <f t="shared" si="0"/>
        <v>48713</v>
      </c>
      <c r="F23" s="17">
        <f t="shared" si="1"/>
        <v>48758.999999999993</v>
      </c>
      <c r="G23">
        <f t="shared" si="2"/>
        <v>45.999999999992724</v>
      </c>
    </row>
    <row r="24" spans="1:7" x14ac:dyDescent="0.35">
      <c r="A24">
        <v>23</v>
      </c>
      <c r="B24" s="16">
        <v>0.56473379629629628</v>
      </c>
      <c r="C24" s="16">
        <v>0.56528935185185181</v>
      </c>
      <c r="E24" s="17">
        <f t="shared" si="0"/>
        <v>48793</v>
      </c>
      <c r="F24" s="17">
        <f t="shared" si="1"/>
        <v>48840.999999999993</v>
      </c>
      <c r="G24">
        <f t="shared" si="2"/>
        <v>47.999999999992724</v>
      </c>
    </row>
    <row r="25" spans="1:7" x14ac:dyDescent="0.35">
      <c r="A25">
        <v>24</v>
      </c>
      <c r="B25" s="16">
        <v>0.56528935185185181</v>
      </c>
      <c r="C25" s="16">
        <v>0.56579861111111107</v>
      </c>
      <c r="E25" s="17">
        <f t="shared" si="0"/>
        <v>48840.999999999993</v>
      </c>
      <c r="F25" s="17">
        <f t="shared" si="1"/>
        <v>48885</v>
      </c>
      <c r="G25">
        <f t="shared" si="2"/>
        <v>44.000000000007276</v>
      </c>
    </row>
    <row r="26" spans="1:7" x14ac:dyDescent="0.35">
      <c r="A26">
        <v>25</v>
      </c>
      <c r="B26" s="16">
        <v>0.56579861111111107</v>
      </c>
      <c r="C26" s="16">
        <v>0.56628472222222226</v>
      </c>
      <c r="E26" s="17">
        <f t="shared" si="0"/>
        <v>48885</v>
      </c>
      <c r="F26" s="17">
        <f t="shared" si="1"/>
        <v>48927</v>
      </c>
      <c r="G26">
        <f t="shared" si="2"/>
        <v>42</v>
      </c>
    </row>
    <row r="27" spans="1:7" x14ac:dyDescent="0.35">
      <c r="A27">
        <v>26</v>
      </c>
      <c r="B27" s="16">
        <v>0.56628472222222226</v>
      </c>
      <c r="C27" s="16">
        <v>0.56680555555555556</v>
      </c>
      <c r="E27" s="17">
        <f t="shared" si="0"/>
        <v>48927</v>
      </c>
      <c r="F27" s="17">
        <f t="shared" si="1"/>
        <v>48972</v>
      </c>
      <c r="G27">
        <f t="shared" si="2"/>
        <v>45</v>
      </c>
    </row>
    <row r="28" spans="1:7" x14ac:dyDescent="0.35">
      <c r="A28">
        <v>27</v>
      </c>
      <c r="B28" s="16">
        <v>0.56680555555555556</v>
      </c>
      <c r="C28" s="16">
        <v>0.56731481481481483</v>
      </c>
      <c r="E28" s="17">
        <f t="shared" si="0"/>
        <v>48972</v>
      </c>
      <c r="F28" s="17">
        <f t="shared" si="1"/>
        <v>49016</v>
      </c>
      <c r="G28">
        <f t="shared" si="2"/>
        <v>44</v>
      </c>
    </row>
    <row r="29" spans="1:7" x14ac:dyDescent="0.35">
      <c r="A29">
        <v>28</v>
      </c>
      <c r="B29" s="16">
        <v>0.56731481481481483</v>
      </c>
      <c r="C29" s="16">
        <v>0.56783564814814813</v>
      </c>
      <c r="E29" s="17">
        <f t="shared" si="0"/>
        <v>49016</v>
      </c>
      <c r="F29" s="17">
        <f t="shared" si="1"/>
        <v>49061</v>
      </c>
      <c r="G29">
        <f t="shared" si="2"/>
        <v>45</v>
      </c>
    </row>
    <row r="30" spans="1:7" x14ac:dyDescent="0.35">
      <c r="A30">
        <v>29</v>
      </c>
      <c r="B30" s="16">
        <v>0.56783564814814813</v>
      </c>
      <c r="C30" s="16">
        <v>0.56836805555555558</v>
      </c>
      <c r="E30" s="17">
        <f t="shared" si="0"/>
        <v>49061</v>
      </c>
      <c r="F30" s="17">
        <f t="shared" si="1"/>
        <v>49107</v>
      </c>
      <c r="G30">
        <f t="shared" si="2"/>
        <v>46</v>
      </c>
    </row>
    <row r="31" spans="1:7" x14ac:dyDescent="0.35">
      <c r="A31">
        <v>30</v>
      </c>
      <c r="B31" s="16">
        <v>0.56836805555555558</v>
      </c>
      <c r="C31" s="16">
        <v>0.56890046296296293</v>
      </c>
      <c r="E31" s="17">
        <f t="shared" si="0"/>
        <v>49107</v>
      </c>
      <c r="F31" s="17">
        <f t="shared" si="1"/>
        <v>49153</v>
      </c>
      <c r="G31">
        <f t="shared" si="2"/>
        <v>46</v>
      </c>
    </row>
    <row r="32" spans="1:7" x14ac:dyDescent="0.35">
      <c r="A32">
        <v>31</v>
      </c>
      <c r="B32" s="16">
        <v>0.56890046296296293</v>
      </c>
      <c r="C32" s="16">
        <v>0.57179398148148153</v>
      </c>
      <c r="D32" t="s">
        <v>484</v>
      </c>
      <c r="E32" s="17">
        <f t="shared" si="0"/>
        <v>49153</v>
      </c>
      <c r="F32" s="17">
        <f t="shared" si="1"/>
        <v>49403.000000000007</v>
      </c>
      <c r="G32">
        <f t="shared" si="2"/>
        <v>250.00000000000728</v>
      </c>
    </row>
    <row r="33" spans="1:7" x14ac:dyDescent="0.35">
      <c r="A33">
        <v>32</v>
      </c>
      <c r="B33" s="16">
        <v>0.5766782407407407</v>
      </c>
      <c r="C33" s="16">
        <v>0.57734953703703706</v>
      </c>
      <c r="E33" s="17">
        <f t="shared" si="0"/>
        <v>49825</v>
      </c>
      <c r="F33" s="17">
        <f t="shared" si="1"/>
        <v>49883</v>
      </c>
      <c r="G33">
        <f t="shared" si="2"/>
        <v>58</v>
      </c>
    </row>
    <row r="34" spans="1:7" x14ac:dyDescent="0.35">
      <c r="A34">
        <v>33</v>
      </c>
      <c r="B34" s="16">
        <v>0.57734953703703706</v>
      </c>
      <c r="C34" s="16">
        <v>0.57796296296296301</v>
      </c>
      <c r="E34" s="17">
        <f t="shared" si="0"/>
        <v>49883</v>
      </c>
      <c r="F34" s="17">
        <f t="shared" si="1"/>
        <v>49936.000000000007</v>
      </c>
      <c r="G34">
        <f t="shared" si="2"/>
        <v>53.000000000007276</v>
      </c>
    </row>
    <row r="35" spans="1:7" x14ac:dyDescent="0.35">
      <c r="A35">
        <v>34</v>
      </c>
      <c r="B35" s="16">
        <v>0.57796296296296301</v>
      </c>
      <c r="C35" s="16">
        <v>0.57850694444444439</v>
      </c>
      <c r="E35" s="17">
        <f t="shared" si="0"/>
        <v>49936.000000000007</v>
      </c>
      <c r="F35" s="17">
        <f t="shared" si="1"/>
        <v>49982.999999999993</v>
      </c>
      <c r="G35">
        <f t="shared" si="2"/>
        <v>46.999999999985448</v>
      </c>
    </row>
    <row r="36" spans="1:7" x14ac:dyDescent="0.35">
      <c r="A36">
        <v>35</v>
      </c>
      <c r="B36" s="16">
        <v>0.57899305555555558</v>
      </c>
      <c r="C36" s="16">
        <v>0.57975694444444448</v>
      </c>
      <c r="D36" t="s">
        <v>519</v>
      </c>
      <c r="E36" s="17">
        <f t="shared" si="0"/>
        <v>50025</v>
      </c>
      <c r="F36" s="17">
        <f t="shared" si="1"/>
        <v>50091</v>
      </c>
      <c r="G36">
        <f t="shared" si="2"/>
        <v>66</v>
      </c>
    </row>
    <row r="37" spans="1:7" x14ac:dyDescent="0.35">
      <c r="A37">
        <v>36</v>
      </c>
      <c r="B37" s="16">
        <v>0.58146990740740745</v>
      </c>
      <c r="C37" s="16">
        <v>0.58189814814814811</v>
      </c>
      <c r="E37" s="17">
        <f t="shared" si="0"/>
        <v>50239</v>
      </c>
      <c r="F37" s="17">
        <f t="shared" si="1"/>
        <v>50276</v>
      </c>
      <c r="G37">
        <f t="shared" si="2"/>
        <v>37</v>
      </c>
    </row>
    <row r="38" spans="1:7" x14ac:dyDescent="0.35">
      <c r="A38">
        <v>37</v>
      </c>
      <c r="B38" s="16">
        <v>0.58189814814814811</v>
      </c>
      <c r="C38" s="16">
        <v>0.58232638888888888</v>
      </c>
      <c r="E38" s="17">
        <f t="shared" si="0"/>
        <v>50276</v>
      </c>
      <c r="F38" s="17">
        <f t="shared" si="1"/>
        <v>50313</v>
      </c>
      <c r="G38">
        <f t="shared" si="2"/>
        <v>37</v>
      </c>
    </row>
    <row r="39" spans="1:7" x14ac:dyDescent="0.35">
      <c r="A39">
        <v>38</v>
      </c>
      <c r="B39" s="16">
        <v>0.58232638888888888</v>
      </c>
      <c r="C39" s="16">
        <v>0.58282407407407411</v>
      </c>
      <c r="E39" s="17">
        <f t="shared" si="0"/>
        <v>50313</v>
      </c>
      <c r="F39" s="17">
        <f t="shared" si="1"/>
        <v>50356</v>
      </c>
      <c r="G39">
        <f t="shared" si="2"/>
        <v>43</v>
      </c>
    </row>
    <row r="40" spans="1:7" x14ac:dyDescent="0.35">
      <c r="A40">
        <v>39</v>
      </c>
      <c r="B40" s="16">
        <v>0.58282407407407411</v>
      </c>
      <c r="C40" s="16">
        <v>0.58331018518518518</v>
      </c>
      <c r="E40" s="17">
        <f t="shared" si="0"/>
        <v>50356</v>
      </c>
      <c r="F40" s="17">
        <f t="shared" si="1"/>
        <v>50398</v>
      </c>
      <c r="G40">
        <f t="shared" si="2"/>
        <v>42</v>
      </c>
    </row>
    <row r="41" spans="1:7" x14ac:dyDescent="0.35">
      <c r="A41">
        <v>40</v>
      </c>
      <c r="B41" s="16">
        <v>0.58331018518518518</v>
      </c>
      <c r="C41" s="16">
        <v>0.58378472222222222</v>
      </c>
      <c r="E41" s="17">
        <f t="shared" si="0"/>
        <v>50398</v>
      </c>
      <c r="F41" s="17">
        <f t="shared" si="1"/>
        <v>50439</v>
      </c>
      <c r="G41">
        <f t="shared" si="2"/>
        <v>41</v>
      </c>
    </row>
    <row r="42" spans="1:7" x14ac:dyDescent="0.35">
      <c r="A42">
        <v>41</v>
      </c>
      <c r="B42" s="16">
        <v>0.58378472222222222</v>
      </c>
      <c r="C42" s="16">
        <v>0.58430555555555552</v>
      </c>
      <c r="E42" s="17">
        <f t="shared" si="0"/>
        <v>50439</v>
      </c>
      <c r="F42" s="17">
        <f t="shared" si="1"/>
        <v>50484</v>
      </c>
      <c r="G42">
        <f t="shared" si="2"/>
        <v>45</v>
      </c>
    </row>
    <row r="43" spans="1:7" x14ac:dyDescent="0.35">
      <c r="A43">
        <v>42</v>
      </c>
      <c r="B43" s="16">
        <v>0.58430555555555552</v>
      </c>
      <c r="C43" s="16">
        <v>0.58480324074074075</v>
      </c>
      <c r="E43" s="17">
        <f t="shared" si="0"/>
        <v>50484</v>
      </c>
      <c r="F43" s="17">
        <f t="shared" si="1"/>
        <v>50527</v>
      </c>
      <c r="G43">
        <f t="shared" si="2"/>
        <v>43</v>
      </c>
    </row>
    <row r="44" spans="1:7" x14ac:dyDescent="0.35">
      <c r="A44">
        <v>43</v>
      </c>
      <c r="B44" s="16">
        <v>0.58480324074074075</v>
      </c>
      <c r="C44" s="16">
        <v>0.58537037037037032</v>
      </c>
      <c r="E44" s="17">
        <f t="shared" si="0"/>
        <v>50527</v>
      </c>
      <c r="F44" s="17">
        <f t="shared" si="1"/>
        <v>50575.999999999993</v>
      </c>
      <c r="G44">
        <f t="shared" si="2"/>
        <v>48.999999999992724</v>
      </c>
    </row>
    <row r="45" spans="1:7" x14ac:dyDescent="0.35">
      <c r="A45">
        <v>44</v>
      </c>
      <c r="B45" s="16">
        <v>0.58537037037037032</v>
      </c>
      <c r="C45" s="16">
        <v>0.58590277777777777</v>
      </c>
      <c r="E45" s="17">
        <f t="shared" si="0"/>
        <v>50575.999999999993</v>
      </c>
      <c r="F45" s="17">
        <f t="shared" si="1"/>
        <v>50622</v>
      </c>
      <c r="G45">
        <f t="shared" si="2"/>
        <v>46.000000000007276</v>
      </c>
    </row>
    <row r="46" spans="1:7" x14ac:dyDescent="0.35">
      <c r="A46">
        <v>45</v>
      </c>
      <c r="B46" s="16">
        <v>0.58590277777777777</v>
      </c>
      <c r="C46" s="16">
        <v>0.58642361111111108</v>
      </c>
      <c r="E46" s="17">
        <f t="shared" si="0"/>
        <v>50622</v>
      </c>
      <c r="F46" s="17">
        <f t="shared" si="1"/>
        <v>50667</v>
      </c>
      <c r="G46">
        <f t="shared" si="2"/>
        <v>45</v>
      </c>
    </row>
    <row r="47" spans="1:7" x14ac:dyDescent="0.35">
      <c r="A47">
        <v>46</v>
      </c>
      <c r="B47" s="16">
        <v>0.58642361111111108</v>
      </c>
      <c r="C47" s="16">
        <v>0.58695601851851853</v>
      </c>
      <c r="E47" s="17">
        <f t="shared" si="0"/>
        <v>50667</v>
      </c>
      <c r="F47" s="17">
        <f t="shared" si="1"/>
        <v>50713</v>
      </c>
      <c r="G47">
        <f t="shared" si="2"/>
        <v>46</v>
      </c>
    </row>
    <row r="48" spans="1:7" x14ac:dyDescent="0.35">
      <c r="A48">
        <v>47</v>
      </c>
      <c r="B48" s="16">
        <v>0.58695601851851853</v>
      </c>
      <c r="C48" s="16">
        <v>0.58751157407407406</v>
      </c>
      <c r="E48" s="17">
        <f t="shared" si="0"/>
        <v>50713</v>
      </c>
      <c r="F48" s="17">
        <f t="shared" si="1"/>
        <v>50761</v>
      </c>
      <c r="G48">
        <f t="shared" si="2"/>
        <v>48</v>
      </c>
    </row>
    <row r="49" spans="1:7" x14ac:dyDescent="0.35">
      <c r="A49">
        <v>48</v>
      </c>
      <c r="B49" s="16">
        <v>0.58751157407407406</v>
      </c>
      <c r="C49" s="16">
        <v>0.58812500000000001</v>
      </c>
      <c r="E49" s="17">
        <f t="shared" si="0"/>
        <v>50761</v>
      </c>
      <c r="F49" s="17">
        <f t="shared" si="1"/>
        <v>50814</v>
      </c>
      <c r="G49">
        <f t="shared" si="2"/>
        <v>53</v>
      </c>
    </row>
    <row r="50" spans="1:7" x14ac:dyDescent="0.35">
      <c r="A50">
        <v>49</v>
      </c>
      <c r="B50" s="16">
        <v>0.58812500000000001</v>
      </c>
      <c r="C50" s="16">
        <v>0.58865740740740746</v>
      </c>
      <c r="E50" s="17">
        <f t="shared" si="0"/>
        <v>50814</v>
      </c>
      <c r="F50" s="17">
        <f t="shared" si="1"/>
        <v>50860.000000000007</v>
      </c>
      <c r="G50">
        <f t="shared" si="2"/>
        <v>46.000000000007276</v>
      </c>
    </row>
    <row r="51" spans="1:7" x14ac:dyDescent="0.35">
      <c r="A51">
        <v>50</v>
      </c>
      <c r="B51" s="16">
        <v>0.58865740740740746</v>
      </c>
      <c r="C51" s="16">
        <v>0.58923611111111107</v>
      </c>
      <c r="E51" s="17">
        <f t="shared" si="0"/>
        <v>50860.000000000007</v>
      </c>
      <c r="F51" s="17">
        <f t="shared" si="1"/>
        <v>50910</v>
      </c>
      <c r="G51">
        <f t="shared" si="2"/>
        <v>49.999999999992724</v>
      </c>
    </row>
    <row r="52" spans="1:7" x14ac:dyDescent="0.35">
      <c r="A52">
        <v>51</v>
      </c>
      <c r="B52" s="16">
        <v>0.58923611111111107</v>
      </c>
      <c r="C52" s="16">
        <v>0.58981481481481479</v>
      </c>
      <c r="E52" s="17">
        <f t="shared" si="0"/>
        <v>50910</v>
      </c>
      <c r="F52" s="17">
        <f t="shared" si="1"/>
        <v>50960</v>
      </c>
      <c r="G52">
        <f t="shared" si="2"/>
        <v>50</v>
      </c>
    </row>
    <row r="53" spans="1:7" x14ac:dyDescent="0.35">
      <c r="A53">
        <v>52</v>
      </c>
      <c r="B53" s="16">
        <v>0.58981481481481479</v>
      </c>
      <c r="C53" s="16">
        <v>0.59061342592592592</v>
      </c>
      <c r="D53" t="s">
        <v>519</v>
      </c>
      <c r="E53" s="17">
        <f t="shared" si="0"/>
        <v>50960</v>
      </c>
      <c r="F53" s="17">
        <f t="shared" si="1"/>
        <v>51029</v>
      </c>
      <c r="G53">
        <f t="shared" si="2"/>
        <v>69</v>
      </c>
    </row>
    <row r="54" spans="1:7" x14ac:dyDescent="0.35">
      <c r="A54">
        <v>53</v>
      </c>
      <c r="B54" s="16">
        <v>0.59211805555555552</v>
      </c>
      <c r="C54" s="16">
        <v>0.59256944444444448</v>
      </c>
      <c r="E54" s="17">
        <f t="shared" si="0"/>
        <v>51159</v>
      </c>
      <c r="F54" s="17">
        <f t="shared" si="1"/>
        <v>51198</v>
      </c>
      <c r="G54">
        <f t="shared" si="2"/>
        <v>39</v>
      </c>
    </row>
    <row r="55" spans="1:7" x14ac:dyDescent="0.35">
      <c r="A55">
        <v>54</v>
      </c>
      <c r="B55" s="16">
        <v>0.59256944444444448</v>
      </c>
      <c r="C55" s="16">
        <v>0.59303240740740737</v>
      </c>
      <c r="E55" s="17">
        <f t="shared" si="0"/>
        <v>51198</v>
      </c>
      <c r="F55" s="17">
        <f t="shared" si="1"/>
        <v>51238</v>
      </c>
      <c r="G55">
        <f t="shared" si="2"/>
        <v>40</v>
      </c>
    </row>
    <row r="56" spans="1:7" x14ac:dyDescent="0.35">
      <c r="A56">
        <v>55</v>
      </c>
      <c r="B56" s="16">
        <v>0.59303240740740737</v>
      </c>
      <c r="C56" s="16">
        <v>0.5935300925925926</v>
      </c>
      <c r="E56" s="17">
        <f t="shared" si="0"/>
        <v>51238</v>
      </c>
      <c r="F56" s="17">
        <f t="shared" si="1"/>
        <v>51281</v>
      </c>
      <c r="G56">
        <f t="shared" si="2"/>
        <v>43</v>
      </c>
    </row>
    <row r="57" spans="1:7" x14ac:dyDescent="0.35">
      <c r="A57">
        <v>56</v>
      </c>
      <c r="B57" s="16">
        <v>0.5935300925925926</v>
      </c>
      <c r="C57" s="16">
        <v>0.59398148148148144</v>
      </c>
      <c r="E57" s="17">
        <f t="shared" si="0"/>
        <v>51281</v>
      </c>
      <c r="F57" s="17">
        <f t="shared" si="1"/>
        <v>51320</v>
      </c>
      <c r="G57">
        <f t="shared" si="2"/>
        <v>39</v>
      </c>
    </row>
    <row r="58" spans="1:7" x14ac:dyDescent="0.35">
      <c r="A58">
        <v>57</v>
      </c>
      <c r="B58" s="16">
        <v>0.59398148148148144</v>
      </c>
      <c r="C58" s="16">
        <v>0.59442129629629625</v>
      </c>
      <c r="E58" s="17">
        <f t="shared" si="0"/>
        <v>51320</v>
      </c>
      <c r="F58" s="17">
        <f t="shared" si="1"/>
        <v>51357.999999999993</v>
      </c>
      <c r="G58">
        <f t="shared" si="2"/>
        <v>37.999999999992724</v>
      </c>
    </row>
    <row r="59" spans="1:7" x14ac:dyDescent="0.35">
      <c r="A59">
        <v>58</v>
      </c>
      <c r="B59" s="16">
        <v>0.59442129629629625</v>
      </c>
      <c r="C59" s="16">
        <v>0.59487268518518521</v>
      </c>
      <c r="E59" s="17">
        <f t="shared" si="0"/>
        <v>51357.999999999993</v>
      </c>
      <c r="F59" s="17">
        <f t="shared" si="1"/>
        <v>51397</v>
      </c>
      <c r="G59">
        <f t="shared" si="2"/>
        <v>39.000000000007276</v>
      </c>
    </row>
    <row r="60" spans="1:7" x14ac:dyDescent="0.35">
      <c r="A60">
        <v>59</v>
      </c>
      <c r="B60" s="16">
        <v>0.59487268518518521</v>
      </c>
      <c r="C60" s="16">
        <v>0.59531250000000002</v>
      </c>
      <c r="E60" s="17">
        <f t="shared" si="0"/>
        <v>51397</v>
      </c>
      <c r="F60" s="17">
        <f t="shared" si="1"/>
        <v>51435</v>
      </c>
      <c r="G60">
        <f t="shared" si="2"/>
        <v>38</v>
      </c>
    </row>
    <row r="61" spans="1:7" x14ac:dyDescent="0.35">
      <c r="A61">
        <v>60</v>
      </c>
      <c r="B61" s="16">
        <v>0.59531250000000002</v>
      </c>
      <c r="C61" s="16">
        <v>0.59578703703703706</v>
      </c>
      <c r="E61" s="17">
        <f t="shared" si="0"/>
        <v>51435</v>
      </c>
      <c r="F61" s="17">
        <f t="shared" si="1"/>
        <v>51476</v>
      </c>
      <c r="G61">
        <f t="shared" si="2"/>
        <v>41</v>
      </c>
    </row>
    <row r="62" spans="1:7" x14ac:dyDescent="0.35">
      <c r="A62">
        <v>61</v>
      </c>
      <c r="B62" s="16">
        <v>0.59578703703703706</v>
      </c>
      <c r="C62" s="16">
        <v>0.59621527777777783</v>
      </c>
      <c r="E62" s="17">
        <f t="shared" si="0"/>
        <v>51476</v>
      </c>
      <c r="F62" s="17">
        <f t="shared" si="1"/>
        <v>51513.000000000007</v>
      </c>
      <c r="G62">
        <f t="shared" si="2"/>
        <v>37.000000000007276</v>
      </c>
    </row>
    <row r="63" spans="1:7" x14ac:dyDescent="0.35">
      <c r="A63">
        <v>62</v>
      </c>
      <c r="B63" s="16">
        <v>0.59621527777777783</v>
      </c>
      <c r="C63" s="16">
        <v>0.59671296296296295</v>
      </c>
      <c r="E63" s="17">
        <f t="shared" si="0"/>
        <v>51513.000000000007</v>
      </c>
      <c r="F63" s="17">
        <f t="shared" si="1"/>
        <v>51556</v>
      </c>
      <c r="G63">
        <f t="shared" si="2"/>
        <v>42.999999999992724</v>
      </c>
    </row>
    <row r="64" spans="1:7" x14ac:dyDescent="0.35">
      <c r="A64">
        <v>63</v>
      </c>
      <c r="B64" s="16">
        <v>0.59671296296296295</v>
      </c>
      <c r="C64" s="16">
        <v>0.59710648148148149</v>
      </c>
      <c r="E64" s="17">
        <f t="shared" si="0"/>
        <v>51556</v>
      </c>
      <c r="F64" s="17">
        <f t="shared" si="1"/>
        <v>51590</v>
      </c>
      <c r="G64">
        <f t="shared" si="2"/>
        <v>34</v>
      </c>
    </row>
    <row r="65" spans="1:7" x14ac:dyDescent="0.35">
      <c r="A65">
        <v>64</v>
      </c>
      <c r="B65" s="16">
        <v>0.59710648148148149</v>
      </c>
      <c r="C65" s="16">
        <v>0.59753472222222226</v>
      </c>
      <c r="E65" s="17">
        <f t="shared" si="0"/>
        <v>51590</v>
      </c>
      <c r="F65" s="17">
        <f t="shared" si="1"/>
        <v>51627</v>
      </c>
      <c r="G65">
        <f t="shared" si="2"/>
        <v>37</v>
      </c>
    </row>
    <row r="66" spans="1:7" x14ac:dyDescent="0.35">
      <c r="A66">
        <v>65</v>
      </c>
      <c r="B66" s="16">
        <v>0.59753472222222226</v>
      </c>
      <c r="C66" s="16">
        <v>0.59793981481481484</v>
      </c>
      <c r="E66" s="17">
        <f t="shared" si="0"/>
        <v>51627</v>
      </c>
      <c r="F66" s="17">
        <f t="shared" si="1"/>
        <v>51662</v>
      </c>
      <c r="G66">
        <f t="shared" si="2"/>
        <v>35</v>
      </c>
    </row>
    <row r="67" spans="1:7" x14ac:dyDescent="0.35">
      <c r="A67">
        <v>66</v>
      </c>
      <c r="B67" s="16">
        <v>0.59793981481481484</v>
      </c>
      <c r="C67" s="16">
        <v>0.59846064814814814</v>
      </c>
      <c r="E67" s="17">
        <f t="shared" ref="E67:E130" si="3">B67*86400</f>
        <v>51662</v>
      </c>
      <c r="F67" s="17">
        <f t="shared" ref="F67:F130" si="4">C67*86400</f>
        <v>51707</v>
      </c>
      <c r="G67">
        <f t="shared" ref="G67:G130" si="5">F67-E67</f>
        <v>45</v>
      </c>
    </row>
    <row r="68" spans="1:7" x14ac:dyDescent="0.35">
      <c r="A68">
        <v>67</v>
      </c>
      <c r="B68" s="16">
        <v>0.59846064814814814</v>
      </c>
      <c r="C68" s="16">
        <v>0.59887731481481477</v>
      </c>
      <c r="E68" s="17">
        <f t="shared" si="3"/>
        <v>51707</v>
      </c>
      <c r="F68" s="17">
        <f t="shared" si="4"/>
        <v>51742.999999999993</v>
      </c>
      <c r="G68">
        <f t="shared" si="5"/>
        <v>35.999999999992724</v>
      </c>
    </row>
    <row r="69" spans="1:7" x14ac:dyDescent="0.35">
      <c r="A69">
        <v>68</v>
      </c>
      <c r="B69" s="16">
        <v>0.59887731481481477</v>
      </c>
      <c r="C69" s="16">
        <v>0.59930555555555554</v>
      </c>
      <c r="E69" s="17">
        <f t="shared" si="3"/>
        <v>51742.999999999993</v>
      </c>
      <c r="F69" s="17">
        <f t="shared" si="4"/>
        <v>51780</v>
      </c>
      <c r="G69">
        <f t="shared" si="5"/>
        <v>37.000000000007276</v>
      </c>
    </row>
    <row r="70" spans="1:7" x14ac:dyDescent="0.35">
      <c r="A70">
        <v>69</v>
      </c>
      <c r="B70" s="16">
        <v>0.59930555555555554</v>
      </c>
      <c r="C70" s="16">
        <v>0.59972222222222227</v>
      </c>
      <c r="E70" s="17">
        <f t="shared" si="3"/>
        <v>51780</v>
      </c>
      <c r="F70" s="17">
        <f t="shared" si="4"/>
        <v>51816.000000000007</v>
      </c>
      <c r="G70">
        <f t="shared" si="5"/>
        <v>36.000000000007276</v>
      </c>
    </row>
    <row r="71" spans="1:7" x14ac:dyDescent="0.35">
      <c r="A71">
        <v>70</v>
      </c>
      <c r="B71" s="16">
        <v>0.63072916666666667</v>
      </c>
      <c r="C71" s="16">
        <v>0.6313657407407407</v>
      </c>
      <c r="E71" s="17">
        <f t="shared" si="3"/>
        <v>54495</v>
      </c>
      <c r="F71" s="17">
        <f t="shared" si="4"/>
        <v>54550</v>
      </c>
      <c r="G71">
        <f t="shared" si="5"/>
        <v>55</v>
      </c>
    </row>
    <row r="72" spans="1:7" x14ac:dyDescent="0.35">
      <c r="A72">
        <v>71</v>
      </c>
      <c r="B72" s="16">
        <v>0.6313657407407407</v>
      </c>
      <c r="C72" s="16">
        <v>0.63178240740740743</v>
      </c>
      <c r="E72" s="17">
        <f t="shared" si="3"/>
        <v>54550</v>
      </c>
      <c r="F72" s="17">
        <f t="shared" si="4"/>
        <v>54586</v>
      </c>
      <c r="G72">
        <f t="shared" si="5"/>
        <v>36</v>
      </c>
    </row>
    <row r="73" spans="1:7" x14ac:dyDescent="0.35">
      <c r="A73">
        <v>72</v>
      </c>
      <c r="B73" s="16">
        <v>0.63200231481481484</v>
      </c>
      <c r="C73" s="16">
        <v>0.63243055555555561</v>
      </c>
      <c r="E73" s="17">
        <f t="shared" si="3"/>
        <v>54605</v>
      </c>
      <c r="F73" s="17">
        <f t="shared" si="4"/>
        <v>54642.000000000007</v>
      </c>
      <c r="G73">
        <f t="shared" si="5"/>
        <v>37.000000000007276</v>
      </c>
    </row>
    <row r="74" spans="1:7" x14ac:dyDescent="0.35">
      <c r="A74">
        <v>73</v>
      </c>
      <c r="B74" s="16">
        <v>0.63243055555555561</v>
      </c>
      <c r="C74" s="16">
        <v>0.63287037037037042</v>
      </c>
      <c r="E74" s="17">
        <f t="shared" si="3"/>
        <v>54642.000000000007</v>
      </c>
      <c r="F74" s="17">
        <f t="shared" si="4"/>
        <v>54680.000000000007</v>
      </c>
      <c r="G74">
        <f t="shared" si="5"/>
        <v>38</v>
      </c>
    </row>
    <row r="75" spans="1:7" x14ac:dyDescent="0.35">
      <c r="A75">
        <v>74</v>
      </c>
      <c r="B75" s="16">
        <v>0.63287037037037042</v>
      </c>
      <c r="C75" s="16">
        <v>0.63331018518518523</v>
      </c>
      <c r="E75" s="17">
        <f t="shared" si="3"/>
        <v>54680.000000000007</v>
      </c>
      <c r="F75" s="17">
        <f t="shared" si="4"/>
        <v>54718</v>
      </c>
      <c r="G75">
        <f t="shared" si="5"/>
        <v>37.999999999992724</v>
      </c>
    </row>
    <row r="76" spans="1:7" x14ac:dyDescent="0.35">
      <c r="A76">
        <v>75</v>
      </c>
      <c r="B76" s="16">
        <v>0.63331018518518523</v>
      </c>
      <c r="C76" s="16">
        <v>0.63369212962962962</v>
      </c>
      <c r="E76" s="17">
        <f t="shared" si="3"/>
        <v>54718</v>
      </c>
      <c r="F76" s="17">
        <f t="shared" si="4"/>
        <v>54751</v>
      </c>
      <c r="G76">
        <f t="shared" si="5"/>
        <v>33</v>
      </c>
    </row>
    <row r="77" spans="1:7" x14ac:dyDescent="0.35">
      <c r="A77">
        <v>76</v>
      </c>
      <c r="B77" s="16">
        <v>0.63369212962962962</v>
      </c>
      <c r="C77" s="16">
        <v>0.63406249999999997</v>
      </c>
      <c r="E77" s="17">
        <f t="shared" si="3"/>
        <v>54751</v>
      </c>
      <c r="F77" s="17">
        <f t="shared" si="4"/>
        <v>54783</v>
      </c>
      <c r="G77">
        <f t="shared" si="5"/>
        <v>32</v>
      </c>
    </row>
    <row r="78" spans="1:7" x14ac:dyDescent="0.35">
      <c r="A78">
        <v>77</v>
      </c>
      <c r="B78" s="16">
        <v>0.63406249999999997</v>
      </c>
      <c r="C78" s="16">
        <v>0.63471064814814815</v>
      </c>
      <c r="D78" t="s">
        <v>484</v>
      </c>
      <c r="E78" s="17">
        <f t="shared" si="3"/>
        <v>54783</v>
      </c>
      <c r="F78" s="17">
        <f t="shared" si="4"/>
        <v>54839</v>
      </c>
      <c r="G78">
        <f t="shared" si="5"/>
        <v>56</v>
      </c>
    </row>
    <row r="79" spans="1:7" x14ac:dyDescent="0.35">
      <c r="A79">
        <v>78</v>
      </c>
      <c r="B79" s="16">
        <v>0.63471064814814815</v>
      </c>
      <c r="C79" s="16">
        <v>0.63543981481481482</v>
      </c>
      <c r="D79" t="s">
        <v>484</v>
      </c>
      <c r="E79" s="17">
        <f t="shared" si="3"/>
        <v>54839</v>
      </c>
      <c r="F79" s="17">
        <f t="shared" si="4"/>
        <v>54902</v>
      </c>
      <c r="G79">
        <f t="shared" si="5"/>
        <v>63</v>
      </c>
    </row>
    <row r="80" spans="1:7" x14ac:dyDescent="0.35">
      <c r="A80">
        <v>79</v>
      </c>
      <c r="B80" s="16">
        <v>0.63543981481481482</v>
      </c>
      <c r="C80" s="16">
        <v>0.63582175925925921</v>
      </c>
      <c r="E80" s="17">
        <f t="shared" si="3"/>
        <v>54902</v>
      </c>
      <c r="F80" s="17">
        <f t="shared" si="4"/>
        <v>54934.999999999993</v>
      </c>
      <c r="G80">
        <f t="shared" si="5"/>
        <v>32.999999999992724</v>
      </c>
    </row>
    <row r="81" spans="1:7" x14ac:dyDescent="0.35">
      <c r="A81">
        <v>80</v>
      </c>
      <c r="B81" s="16">
        <v>0.63582175925925921</v>
      </c>
      <c r="C81" s="16">
        <v>0.6361458333333333</v>
      </c>
      <c r="E81" s="17">
        <f t="shared" si="3"/>
        <v>54934.999999999993</v>
      </c>
      <c r="F81" s="17">
        <f t="shared" si="4"/>
        <v>54963</v>
      </c>
      <c r="G81">
        <f t="shared" si="5"/>
        <v>28.000000000007276</v>
      </c>
    </row>
    <row r="82" spans="1:7" x14ac:dyDescent="0.35">
      <c r="A82">
        <v>81</v>
      </c>
      <c r="B82" s="16">
        <v>0.6361458333333333</v>
      </c>
      <c r="C82" s="16">
        <v>0.63651620370370365</v>
      </c>
      <c r="E82" s="17">
        <f t="shared" si="3"/>
        <v>54963</v>
      </c>
      <c r="F82" s="17">
        <f t="shared" si="4"/>
        <v>54994.999999999993</v>
      </c>
      <c r="G82">
        <f t="shared" si="5"/>
        <v>31.999999999992724</v>
      </c>
    </row>
    <row r="83" spans="1:7" x14ac:dyDescent="0.35">
      <c r="A83">
        <v>82</v>
      </c>
      <c r="B83" s="16">
        <v>0.63651620370370365</v>
      </c>
      <c r="C83" s="16">
        <v>0.63686342592592593</v>
      </c>
      <c r="E83" s="17">
        <f t="shared" si="3"/>
        <v>54994.999999999993</v>
      </c>
      <c r="F83" s="17">
        <f t="shared" si="4"/>
        <v>55025</v>
      </c>
      <c r="G83">
        <f t="shared" si="5"/>
        <v>30.000000000007276</v>
      </c>
    </row>
    <row r="84" spans="1:7" x14ac:dyDescent="0.35">
      <c r="A84">
        <v>83</v>
      </c>
      <c r="B84" s="16">
        <v>0.63686342592592593</v>
      </c>
      <c r="C84" s="16">
        <v>0.63719907407407406</v>
      </c>
      <c r="E84" s="17">
        <f t="shared" si="3"/>
        <v>55025</v>
      </c>
      <c r="F84" s="17">
        <f t="shared" si="4"/>
        <v>55054</v>
      </c>
      <c r="G84">
        <f t="shared" si="5"/>
        <v>29</v>
      </c>
    </row>
    <row r="85" spans="1:7" x14ac:dyDescent="0.35">
      <c r="A85">
        <v>84</v>
      </c>
      <c r="B85" s="16">
        <v>0.63719907407407406</v>
      </c>
      <c r="C85" s="16">
        <v>0.63753472222222218</v>
      </c>
      <c r="E85" s="17">
        <f t="shared" si="3"/>
        <v>55054</v>
      </c>
      <c r="F85" s="17">
        <f t="shared" si="4"/>
        <v>55083</v>
      </c>
      <c r="G85">
        <f t="shared" si="5"/>
        <v>29</v>
      </c>
    </row>
    <row r="86" spans="1:7" x14ac:dyDescent="0.35">
      <c r="A86">
        <v>85</v>
      </c>
      <c r="B86" s="16">
        <v>0.63753472222222218</v>
      </c>
      <c r="C86" s="16">
        <v>0.63785879629629627</v>
      </c>
      <c r="E86" s="17">
        <f t="shared" si="3"/>
        <v>55083</v>
      </c>
      <c r="F86" s="17">
        <f t="shared" si="4"/>
        <v>55111</v>
      </c>
      <c r="G86">
        <f t="shared" si="5"/>
        <v>28</v>
      </c>
    </row>
    <row r="87" spans="1:7" x14ac:dyDescent="0.35">
      <c r="A87">
        <v>86</v>
      </c>
      <c r="B87" s="16">
        <v>0.63785879629629627</v>
      </c>
      <c r="C87" s="16">
        <v>0.63815972222222217</v>
      </c>
      <c r="E87" s="17">
        <f t="shared" si="3"/>
        <v>55111</v>
      </c>
      <c r="F87" s="17">
        <f t="shared" si="4"/>
        <v>55136.999999999993</v>
      </c>
      <c r="G87">
        <f t="shared" si="5"/>
        <v>25.999999999992724</v>
      </c>
    </row>
    <row r="88" spans="1:7" x14ac:dyDescent="0.35">
      <c r="A88">
        <v>87</v>
      </c>
      <c r="B88" s="16">
        <v>0.63815972222222217</v>
      </c>
      <c r="C88" s="16">
        <v>0.63856481481481486</v>
      </c>
      <c r="E88" s="17">
        <f t="shared" si="3"/>
        <v>55136.999999999993</v>
      </c>
      <c r="F88" s="17">
        <f t="shared" si="4"/>
        <v>55172.000000000007</v>
      </c>
      <c r="G88">
        <f t="shared" si="5"/>
        <v>35.000000000014552</v>
      </c>
    </row>
    <row r="89" spans="1:7" x14ac:dyDescent="0.35">
      <c r="A89">
        <v>88</v>
      </c>
      <c r="B89" s="16">
        <v>0.63856481481481486</v>
      </c>
      <c r="C89" s="16">
        <v>0.6390393518518519</v>
      </c>
      <c r="E89" s="17">
        <f t="shared" si="3"/>
        <v>55172.000000000007</v>
      </c>
      <c r="F89" s="17">
        <f t="shared" si="4"/>
        <v>55213.000000000007</v>
      </c>
      <c r="G89">
        <f t="shared" si="5"/>
        <v>41</v>
      </c>
    </row>
    <row r="90" spans="1:7" x14ac:dyDescent="0.35">
      <c r="A90">
        <v>89</v>
      </c>
      <c r="B90" s="16">
        <v>0.64001157407407405</v>
      </c>
      <c r="C90" s="16">
        <v>0.64047453703703705</v>
      </c>
      <c r="E90" s="17">
        <f t="shared" si="3"/>
        <v>55297</v>
      </c>
      <c r="F90" s="17">
        <f t="shared" si="4"/>
        <v>55337</v>
      </c>
      <c r="G90">
        <f t="shared" si="5"/>
        <v>40</v>
      </c>
    </row>
    <row r="91" spans="1:7" x14ac:dyDescent="0.35">
      <c r="A91">
        <v>90</v>
      </c>
      <c r="B91" s="16">
        <v>0.64047453703703705</v>
      </c>
      <c r="C91" s="16">
        <v>0.64112268518518523</v>
      </c>
      <c r="E91" s="17">
        <f t="shared" si="3"/>
        <v>55337</v>
      </c>
      <c r="F91" s="17">
        <f t="shared" si="4"/>
        <v>55393</v>
      </c>
      <c r="G91">
        <f t="shared" si="5"/>
        <v>56</v>
      </c>
    </row>
    <row r="92" spans="1:7" x14ac:dyDescent="0.35">
      <c r="A92">
        <v>91</v>
      </c>
      <c r="B92" s="16">
        <v>0.64112268518518523</v>
      </c>
      <c r="C92" s="16">
        <v>0.6416087962962963</v>
      </c>
      <c r="E92" s="17">
        <f t="shared" si="3"/>
        <v>55393</v>
      </c>
      <c r="F92" s="17">
        <f t="shared" si="4"/>
        <v>55435</v>
      </c>
      <c r="G92">
        <f t="shared" si="5"/>
        <v>42</v>
      </c>
    </row>
    <row r="93" spans="1:7" x14ac:dyDescent="0.35">
      <c r="A93">
        <v>92</v>
      </c>
      <c r="B93" s="16">
        <v>0.6416087962962963</v>
      </c>
      <c r="C93" s="16">
        <v>0.64203703703703707</v>
      </c>
      <c r="E93" s="17">
        <f t="shared" si="3"/>
        <v>55435</v>
      </c>
      <c r="F93" s="17">
        <f t="shared" si="4"/>
        <v>55472</v>
      </c>
      <c r="G93">
        <f t="shared" si="5"/>
        <v>37</v>
      </c>
    </row>
    <row r="94" spans="1:7" x14ac:dyDescent="0.35">
      <c r="A94">
        <v>93</v>
      </c>
      <c r="B94" s="16">
        <v>0.64203703703703707</v>
      </c>
      <c r="C94" s="16">
        <v>0.64246527777777773</v>
      </c>
      <c r="E94" s="17">
        <f t="shared" si="3"/>
        <v>55472</v>
      </c>
      <c r="F94" s="17">
        <f t="shared" si="4"/>
        <v>55508.999999999993</v>
      </c>
      <c r="G94">
        <f t="shared" si="5"/>
        <v>36.999999999992724</v>
      </c>
    </row>
    <row r="95" spans="1:7" x14ac:dyDescent="0.35">
      <c r="A95">
        <v>94</v>
      </c>
      <c r="B95" s="16">
        <v>0.64246527777777773</v>
      </c>
      <c r="C95" s="16">
        <v>0.64293981481481477</v>
      </c>
      <c r="E95" s="17">
        <f t="shared" si="3"/>
        <v>55508.999999999993</v>
      </c>
      <c r="F95" s="17">
        <f t="shared" si="4"/>
        <v>55549.999999999993</v>
      </c>
      <c r="G95">
        <f t="shared" si="5"/>
        <v>41</v>
      </c>
    </row>
    <row r="96" spans="1:7" x14ac:dyDescent="0.35">
      <c r="A96">
        <v>95</v>
      </c>
      <c r="B96" s="16">
        <v>0.64293981481481477</v>
      </c>
      <c r="C96" s="16">
        <v>0.64340277777777777</v>
      </c>
      <c r="E96" s="17">
        <f t="shared" si="3"/>
        <v>55549.999999999993</v>
      </c>
      <c r="F96" s="17">
        <f t="shared" si="4"/>
        <v>55590</v>
      </c>
      <c r="G96">
        <f t="shared" si="5"/>
        <v>40.000000000007276</v>
      </c>
    </row>
    <row r="97" spans="1:7" x14ac:dyDescent="0.35">
      <c r="A97">
        <v>96</v>
      </c>
      <c r="B97" s="16">
        <v>0.64340277777777777</v>
      </c>
      <c r="C97" s="16">
        <v>0.64385416666666662</v>
      </c>
      <c r="E97" s="17">
        <f t="shared" si="3"/>
        <v>55590</v>
      </c>
      <c r="F97" s="17">
        <f t="shared" si="4"/>
        <v>55628.999999999993</v>
      </c>
      <c r="G97">
        <f t="shared" si="5"/>
        <v>38.999999999992724</v>
      </c>
    </row>
    <row r="98" spans="1:7" x14ac:dyDescent="0.35">
      <c r="A98">
        <v>97</v>
      </c>
      <c r="B98" s="16">
        <v>0.64385416666666662</v>
      </c>
      <c r="C98" s="16">
        <v>0.6443402777777778</v>
      </c>
      <c r="E98" s="17">
        <f t="shared" si="3"/>
        <v>55628.999999999993</v>
      </c>
      <c r="F98" s="17">
        <f t="shared" si="4"/>
        <v>55671</v>
      </c>
      <c r="G98">
        <f t="shared" si="5"/>
        <v>42.000000000007276</v>
      </c>
    </row>
    <row r="99" spans="1:7" x14ac:dyDescent="0.35">
      <c r="A99">
        <v>98</v>
      </c>
      <c r="B99" s="16">
        <v>0.6443402777777778</v>
      </c>
      <c r="C99" s="16">
        <v>0.64484953703703707</v>
      </c>
      <c r="E99" s="17">
        <f t="shared" si="3"/>
        <v>55671</v>
      </c>
      <c r="F99" s="17">
        <f t="shared" si="4"/>
        <v>55715</v>
      </c>
      <c r="G99">
        <f t="shared" si="5"/>
        <v>44</v>
      </c>
    </row>
    <row r="100" spans="1:7" x14ac:dyDescent="0.35">
      <c r="A100">
        <v>99</v>
      </c>
      <c r="B100" s="16">
        <v>0.64484953703703707</v>
      </c>
      <c r="C100" s="16">
        <v>0.64527777777777773</v>
      </c>
      <c r="E100" s="17">
        <f t="shared" si="3"/>
        <v>55715</v>
      </c>
      <c r="F100" s="17">
        <f t="shared" si="4"/>
        <v>55751.999999999993</v>
      </c>
      <c r="G100">
        <f t="shared" si="5"/>
        <v>36.999999999992724</v>
      </c>
    </row>
    <row r="101" spans="1:7" x14ac:dyDescent="0.35">
      <c r="A101">
        <v>100</v>
      </c>
      <c r="B101" s="16">
        <v>0.64527777777777773</v>
      </c>
      <c r="C101" s="16">
        <v>0.64574074074074073</v>
      </c>
      <c r="E101" s="17">
        <f t="shared" si="3"/>
        <v>55751.999999999993</v>
      </c>
      <c r="F101" s="17">
        <f t="shared" si="4"/>
        <v>55792</v>
      </c>
      <c r="G101">
        <f t="shared" si="5"/>
        <v>40.000000000007276</v>
      </c>
    </row>
    <row r="102" spans="1:7" x14ac:dyDescent="0.35">
      <c r="A102">
        <v>101</v>
      </c>
      <c r="B102" s="16">
        <v>0.64574074074074073</v>
      </c>
      <c r="C102" s="16">
        <v>0.64619212962962957</v>
      </c>
      <c r="E102" s="17">
        <f t="shared" si="3"/>
        <v>55792</v>
      </c>
      <c r="F102" s="17">
        <f t="shared" si="4"/>
        <v>55830.999999999993</v>
      </c>
      <c r="G102">
        <f t="shared" si="5"/>
        <v>38.999999999992724</v>
      </c>
    </row>
    <row r="103" spans="1:7" x14ac:dyDescent="0.35">
      <c r="A103">
        <v>102</v>
      </c>
      <c r="B103" s="16">
        <v>0.64619212962962957</v>
      </c>
      <c r="C103" s="16">
        <v>0.64664351851851853</v>
      </c>
      <c r="E103" s="17">
        <f t="shared" si="3"/>
        <v>55830.999999999993</v>
      </c>
      <c r="F103" s="17">
        <f t="shared" si="4"/>
        <v>55870</v>
      </c>
      <c r="G103">
        <f t="shared" si="5"/>
        <v>39.000000000007276</v>
      </c>
    </row>
    <row r="104" spans="1:7" x14ac:dyDescent="0.35">
      <c r="A104">
        <v>103</v>
      </c>
      <c r="B104" s="16">
        <v>0.64664351851851853</v>
      </c>
      <c r="C104" s="16">
        <v>0.64733796296296298</v>
      </c>
      <c r="D104" t="s">
        <v>519</v>
      </c>
      <c r="E104" s="17">
        <f t="shared" si="3"/>
        <v>55870</v>
      </c>
      <c r="F104" s="17">
        <f t="shared" si="4"/>
        <v>55930</v>
      </c>
      <c r="G104">
        <f t="shared" si="5"/>
        <v>60</v>
      </c>
    </row>
    <row r="105" spans="1:7" x14ac:dyDescent="0.35">
      <c r="A105">
        <v>104</v>
      </c>
      <c r="B105" s="16">
        <v>0.6491203703703704</v>
      </c>
      <c r="C105" s="16">
        <v>0.64990740740740738</v>
      </c>
      <c r="D105" t="s">
        <v>484</v>
      </c>
      <c r="E105" s="17">
        <f t="shared" si="3"/>
        <v>56084</v>
      </c>
      <c r="F105" s="17">
        <f t="shared" si="4"/>
        <v>56152</v>
      </c>
      <c r="G105">
        <f t="shared" si="5"/>
        <v>68</v>
      </c>
    </row>
    <row r="106" spans="1:7" x14ac:dyDescent="0.35">
      <c r="A106">
        <v>105</v>
      </c>
      <c r="B106" s="16">
        <v>0.64990740740740738</v>
      </c>
      <c r="C106" s="16">
        <v>0.65052083333333333</v>
      </c>
      <c r="E106" s="17">
        <f t="shared" si="3"/>
        <v>56152</v>
      </c>
      <c r="F106" s="17">
        <f t="shared" si="4"/>
        <v>56205</v>
      </c>
      <c r="G106">
        <f t="shared" si="5"/>
        <v>53</v>
      </c>
    </row>
    <row r="107" spans="1:7" x14ac:dyDescent="0.35">
      <c r="A107">
        <v>106</v>
      </c>
      <c r="B107" s="16">
        <v>0.65052083333333333</v>
      </c>
      <c r="C107" s="16">
        <v>0.65092592592592591</v>
      </c>
      <c r="E107" s="17">
        <f t="shared" si="3"/>
        <v>56205</v>
      </c>
      <c r="F107" s="17">
        <f t="shared" si="4"/>
        <v>56240</v>
      </c>
      <c r="G107">
        <f t="shared" si="5"/>
        <v>35</v>
      </c>
    </row>
    <row r="108" spans="1:7" x14ac:dyDescent="0.35">
      <c r="A108">
        <v>107</v>
      </c>
      <c r="B108" s="16">
        <v>0.65092592592592591</v>
      </c>
      <c r="C108" s="16">
        <v>0.65131944444444445</v>
      </c>
      <c r="E108" s="17">
        <f t="shared" si="3"/>
        <v>56240</v>
      </c>
      <c r="F108" s="17">
        <f t="shared" si="4"/>
        <v>56274</v>
      </c>
      <c r="G108">
        <f t="shared" si="5"/>
        <v>34</v>
      </c>
    </row>
    <row r="109" spans="1:7" x14ac:dyDescent="0.35">
      <c r="A109">
        <v>108</v>
      </c>
      <c r="B109" s="16">
        <v>0.65131944444444445</v>
      </c>
      <c r="C109" s="16">
        <v>0.65170138888888884</v>
      </c>
      <c r="E109" s="17">
        <f t="shared" si="3"/>
        <v>56274</v>
      </c>
      <c r="F109" s="17">
        <f t="shared" si="4"/>
        <v>56306.999999999993</v>
      </c>
      <c r="G109">
        <f t="shared" si="5"/>
        <v>32.999999999992724</v>
      </c>
    </row>
    <row r="110" spans="1:7" x14ac:dyDescent="0.35">
      <c r="A110">
        <v>109</v>
      </c>
      <c r="B110" s="16">
        <v>0.65170138888888884</v>
      </c>
      <c r="C110" s="16">
        <v>0.65214120370370365</v>
      </c>
      <c r="E110" s="17">
        <f t="shared" si="3"/>
        <v>56306.999999999993</v>
      </c>
      <c r="F110" s="17">
        <f t="shared" si="4"/>
        <v>56344.999999999993</v>
      </c>
      <c r="G110">
        <f t="shared" si="5"/>
        <v>38</v>
      </c>
    </row>
    <row r="111" spans="1:7" x14ac:dyDescent="0.35">
      <c r="A111">
        <v>110</v>
      </c>
      <c r="B111" s="16">
        <v>0.65214120370370365</v>
      </c>
      <c r="C111" s="16">
        <v>0.65254629629629635</v>
      </c>
      <c r="E111" s="17">
        <f t="shared" si="3"/>
        <v>56344.999999999993</v>
      </c>
      <c r="F111" s="17">
        <f t="shared" si="4"/>
        <v>56380.000000000007</v>
      </c>
      <c r="G111">
        <f t="shared" si="5"/>
        <v>35.000000000014552</v>
      </c>
    </row>
    <row r="112" spans="1:7" x14ac:dyDescent="0.35">
      <c r="A112">
        <v>111</v>
      </c>
      <c r="B112" s="16">
        <v>0.65254629629629635</v>
      </c>
      <c r="C112" s="16">
        <v>0.65297453703703701</v>
      </c>
      <c r="E112" s="17">
        <f t="shared" si="3"/>
        <v>56380.000000000007</v>
      </c>
      <c r="F112" s="17">
        <f t="shared" si="4"/>
        <v>56417</v>
      </c>
      <c r="G112">
        <f t="shared" si="5"/>
        <v>36.999999999992724</v>
      </c>
    </row>
    <row r="113" spans="1:7" x14ac:dyDescent="0.35">
      <c r="A113">
        <v>112</v>
      </c>
      <c r="B113" s="16">
        <v>0.65297453703703701</v>
      </c>
      <c r="C113" s="16">
        <v>0.65340277777777778</v>
      </c>
      <c r="E113" s="17">
        <f t="shared" si="3"/>
        <v>56417</v>
      </c>
      <c r="F113" s="17">
        <f t="shared" si="4"/>
        <v>56454</v>
      </c>
      <c r="G113">
        <f t="shared" si="5"/>
        <v>37</v>
      </c>
    </row>
    <row r="114" spans="1:7" x14ac:dyDescent="0.35">
      <c r="A114">
        <v>113</v>
      </c>
      <c r="B114" s="16">
        <v>0.65340277777777778</v>
      </c>
      <c r="C114" s="16">
        <v>0.65383101851851855</v>
      </c>
      <c r="E114" s="17">
        <f t="shared" si="3"/>
        <v>56454</v>
      </c>
      <c r="F114" s="17">
        <f t="shared" si="4"/>
        <v>56491</v>
      </c>
      <c r="G114">
        <f t="shared" si="5"/>
        <v>37</v>
      </c>
    </row>
    <row r="115" spans="1:7" x14ac:dyDescent="0.35">
      <c r="A115">
        <v>114</v>
      </c>
      <c r="B115" s="16">
        <v>0.65383101851851855</v>
      </c>
      <c r="C115" s="16">
        <v>0.65425925925925921</v>
      </c>
      <c r="E115" s="17">
        <f t="shared" si="3"/>
        <v>56491</v>
      </c>
      <c r="F115" s="17">
        <f t="shared" si="4"/>
        <v>56527.999999999993</v>
      </c>
      <c r="G115">
        <f t="shared" si="5"/>
        <v>36.999999999992724</v>
      </c>
    </row>
    <row r="116" spans="1:7" x14ac:dyDescent="0.35">
      <c r="A116">
        <v>115</v>
      </c>
      <c r="B116" s="16">
        <v>0.65425925925925921</v>
      </c>
      <c r="C116" s="16">
        <v>0.65472222222222221</v>
      </c>
      <c r="E116" s="17">
        <f t="shared" si="3"/>
        <v>56527.999999999993</v>
      </c>
      <c r="F116" s="17">
        <f t="shared" si="4"/>
        <v>56568</v>
      </c>
      <c r="G116">
        <f t="shared" si="5"/>
        <v>40.000000000007276</v>
      </c>
    </row>
    <row r="117" spans="1:7" x14ac:dyDescent="0.35">
      <c r="A117">
        <v>116</v>
      </c>
      <c r="B117" s="16">
        <v>0.65472222222222221</v>
      </c>
      <c r="C117" s="16">
        <v>0.65532407407407411</v>
      </c>
      <c r="E117" s="17">
        <f t="shared" si="3"/>
        <v>56568</v>
      </c>
      <c r="F117" s="17">
        <f t="shared" si="4"/>
        <v>56620</v>
      </c>
      <c r="G117">
        <f t="shared" si="5"/>
        <v>52</v>
      </c>
    </row>
    <row r="118" spans="1:7" x14ac:dyDescent="0.35">
      <c r="A118">
        <v>117</v>
      </c>
      <c r="B118" s="16">
        <v>0.65532407407407411</v>
      </c>
      <c r="C118" s="16">
        <v>0.65596064814814814</v>
      </c>
      <c r="E118" s="17">
        <f t="shared" si="3"/>
        <v>56620</v>
      </c>
      <c r="F118" s="17">
        <f t="shared" si="4"/>
        <v>56675</v>
      </c>
      <c r="G118">
        <f t="shared" si="5"/>
        <v>55</v>
      </c>
    </row>
    <row r="119" spans="1:7" x14ac:dyDescent="0.35">
      <c r="A119">
        <v>118</v>
      </c>
      <c r="B119" s="16">
        <v>0.65596064814814814</v>
      </c>
      <c r="C119" s="16">
        <v>0.65643518518518518</v>
      </c>
      <c r="E119" s="17">
        <f t="shared" si="3"/>
        <v>56675</v>
      </c>
      <c r="F119" s="17">
        <f t="shared" si="4"/>
        <v>56716</v>
      </c>
      <c r="G119">
        <f t="shared" si="5"/>
        <v>41</v>
      </c>
    </row>
    <row r="120" spans="1:7" x14ac:dyDescent="0.35">
      <c r="A120">
        <v>119</v>
      </c>
      <c r="B120" s="16">
        <v>0.65643518518518518</v>
      </c>
      <c r="C120" s="16">
        <v>0.65689814814814818</v>
      </c>
      <c r="E120" s="17">
        <f t="shared" si="3"/>
        <v>56716</v>
      </c>
      <c r="F120" s="17">
        <f t="shared" si="4"/>
        <v>56756</v>
      </c>
      <c r="G120">
        <f t="shared" si="5"/>
        <v>40</v>
      </c>
    </row>
    <row r="121" spans="1:7" x14ac:dyDescent="0.35">
      <c r="A121">
        <v>120</v>
      </c>
      <c r="B121" s="16">
        <v>0.65689814814814818</v>
      </c>
      <c r="C121" s="16">
        <v>0.65767361111111111</v>
      </c>
      <c r="D121" t="s">
        <v>519</v>
      </c>
      <c r="E121" s="17">
        <f t="shared" si="3"/>
        <v>56756</v>
      </c>
      <c r="F121" s="17">
        <f t="shared" si="4"/>
        <v>56823</v>
      </c>
      <c r="G121">
        <f t="shared" si="5"/>
        <v>67</v>
      </c>
    </row>
    <row r="122" spans="1:7" x14ac:dyDescent="0.35">
      <c r="A122">
        <v>121</v>
      </c>
      <c r="B122" s="16">
        <v>0.65917824074074072</v>
      </c>
      <c r="C122" s="16">
        <v>0.65959490740740745</v>
      </c>
      <c r="E122" s="17">
        <f t="shared" si="3"/>
        <v>56953</v>
      </c>
      <c r="F122" s="17">
        <f t="shared" si="4"/>
        <v>56989</v>
      </c>
      <c r="G122">
        <f t="shared" si="5"/>
        <v>36</v>
      </c>
    </row>
    <row r="123" spans="1:7" x14ac:dyDescent="0.35">
      <c r="A123">
        <v>122</v>
      </c>
      <c r="B123" s="16">
        <v>0.65959490740740745</v>
      </c>
      <c r="C123" s="16">
        <v>0.65998842592592588</v>
      </c>
      <c r="E123" s="17">
        <f t="shared" si="3"/>
        <v>56989</v>
      </c>
      <c r="F123" s="17">
        <f t="shared" si="4"/>
        <v>57022.999999999993</v>
      </c>
      <c r="G123">
        <f t="shared" si="5"/>
        <v>33.999999999992724</v>
      </c>
    </row>
    <row r="124" spans="1:7" x14ac:dyDescent="0.35">
      <c r="A124">
        <v>123</v>
      </c>
      <c r="B124" s="16">
        <v>0.65998842592592588</v>
      </c>
      <c r="C124" s="16">
        <v>0.66047453703703707</v>
      </c>
      <c r="E124" s="17">
        <f t="shared" si="3"/>
        <v>57022.999999999993</v>
      </c>
      <c r="F124" s="17">
        <f t="shared" si="4"/>
        <v>57065</v>
      </c>
      <c r="G124">
        <f t="shared" si="5"/>
        <v>42.000000000007276</v>
      </c>
    </row>
    <row r="125" spans="1:7" x14ac:dyDescent="0.35">
      <c r="A125">
        <v>124</v>
      </c>
      <c r="B125" s="16">
        <v>0.66047453703703707</v>
      </c>
      <c r="C125" s="16">
        <v>0.6608680555555555</v>
      </c>
      <c r="E125" s="17">
        <f t="shared" si="3"/>
        <v>57065</v>
      </c>
      <c r="F125" s="17">
        <f t="shared" si="4"/>
        <v>57098.999999999993</v>
      </c>
      <c r="G125">
        <f t="shared" si="5"/>
        <v>33.999999999992724</v>
      </c>
    </row>
    <row r="126" spans="1:7" x14ac:dyDescent="0.35">
      <c r="A126">
        <v>125</v>
      </c>
      <c r="B126" s="16">
        <v>0.6608680555555555</v>
      </c>
      <c r="C126" s="16">
        <v>0.66123842592592597</v>
      </c>
      <c r="E126" s="17">
        <f t="shared" si="3"/>
        <v>57098.999999999993</v>
      </c>
      <c r="F126" s="17">
        <f t="shared" si="4"/>
        <v>57131</v>
      </c>
      <c r="G126">
        <f t="shared" si="5"/>
        <v>32.000000000007276</v>
      </c>
    </row>
    <row r="127" spans="1:7" x14ac:dyDescent="0.35">
      <c r="A127">
        <v>126</v>
      </c>
      <c r="B127" s="16">
        <v>0.66123842592592597</v>
      </c>
      <c r="C127" s="16">
        <v>0.66162037037037036</v>
      </c>
      <c r="E127" s="17">
        <f t="shared" si="3"/>
        <v>57131</v>
      </c>
      <c r="F127" s="17">
        <f t="shared" si="4"/>
        <v>57164</v>
      </c>
      <c r="G127">
        <f t="shared" si="5"/>
        <v>33</v>
      </c>
    </row>
    <row r="128" spans="1:7" x14ac:dyDescent="0.35">
      <c r="A128">
        <v>127</v>
      </c>
      <c r="B128" s="16">
        <v>0.66162037037037036</v>
      </c>
      <c r="C128" s="16">
        <v>0.66199074074074071</v>
      </c>
      <c r="E128" s="17">
        <f t="shared" si="3"/>
        <v>57164</v>
      </c>
      <c r="F128" s="17">
        <f t="shared" si="4"/>
        <v>57196</v>
      </c>
      <c r="G128">
        <f t="shared" si="5"/>
        <v>32</v>
      </c>
    </row>
    <row r="129" spans="1:7" x14ac:dyDescent="0.35">
      <c r="A129">
        <v>128</v>
      </c>
      <c r="B129" s="16">
        <v>0.66199074074074071</v>
      </c>
      <c r="C129" s="16">
        <v>0.66234953703703703</v>
      </c>
      <c r="E129" s="17">
        <f t="shared" si="3"/>
        <v>57196</v>
      </c>
      <c r="F129" s="17">
        <f t="shared" si="4"/>
        <v>57227</v>
      </c>
      <c r="G129">
        <f t="shared" si="5"/>
        <v>31</v>
      </c>
    </row>
    <row r="130" spans="1:7" x14ac:dyDescent="0.35">
      <c r="A130">
        <v>129</v>
      </c>
      <c r="B130" s="16">
        <v>0.66234953703703703</v>
      </c>
      <c r="C130" s="16">
        <v>0.66271990740740738</v>
      </c>
      <c r="E130" s="17">
        <f t="shared" si="3"/>
        <v>57227</v>
      </c>
      <c r="F130" s="17">
        <f t="shared" si="4"/>
        <v>57259</v>
      </c>
      <c r="G130">
        <f t="shared" si="5"/>
        <v>32</v>
      </c>
    </row>
    <row r="131" spans="1:7" x14ac:dyDescent="0.35">
      <c r="A131">
        <v>130</v>
      </c>
      <c r="B131" s="16">
        <v>0.66271990740740738</v>
      </c>
      <c r="C131" s="16">
        <v>0.66306712962962966</v>
      </c>
      <c r="E131" s="17">
        <f t="shared" ref="E131:E137" si="6">B131*86400</f>
        <v>57259</v>
      </c>
      <c r="F131" s="17">
        <f t="shared" ref="F131:F137" si="7">C131*86400</f>
        <v>57289</v>
      </c>
      <c r="G131">
        <f t="shared" ref="G131:G137" si="8">F131-E131</f>
        <v>30</v>
      </c>
    </row>
    <row r="132" spans="1:7" x14ac:dyDescent="0.35">
      <c r="A132">
        <v>131</v>
      </c>
      <c r="B132" s="16">
        <v>0.66306712962962966</v>
      </c>
      <c r="C132" s="16">
        <v>0.66340277777777779</v>
      </c>
      <c r="E132" s="17">
        <f t="shared" si="6"/>
        <v>57289</v>
      </c>
      <c r="F132" s="17">
        <f t="shared" si="7"/>
        <v>57318</v>
      </c>
      <c r="G132">
        <f t="shared" si="8"/>
        <v>29</v>
      </c>
    </row>
    <row r="133" spans="1:7" x14ac:dyDescent="0.35">
      <c r="A133">
        <v>132</v>
      </c>
      <c r="B133" s="16">
        <v>0.66340277777777779</v>
      </c>
      <c r="C133" s="16">
        <v>0.6637615740740741</v>
      </c>
      <c r="E133" s="17">
        <f t="shared" si="6"/>
        <v>57318</v>
      </c>
      <c r="F133" s="17">
        <f t="shared" si="7"/>
        <v>57349</v>
      </c>
      <c r="G133">
        <f t="shared" si="8"/>
        <v>31</v>
      </c>
    </row>
    <row r="134" spans="1:7" x14ac:dyDescent="0.35">
      <c r="A134">
        <v>133</v>
      </c>
      <c r="B134" s="16">
        <v>0.6637615740740741</v>
      </c>
      <c r="C134" s="16">
        <v>0.66410879629629627</v>
      </c>
      <c r="E134" s="17">
        <f t="shared" si="6"/>
        <v>57349</v>
      </c>
      <c r="F134" s="17">
        <f t="shared" si="7"/>
        <v>57379</v>
      </c>
      <c r="G134">
        <f t="shared" si="8"/>
        <v>30</v>
      </c>
    </row>
    <row r="135" spans="1:7" x14ac:dyDescent="0.35">
      <c r="A135">
        <v>134</v>
      </c>
      <c r="B135" s="16">
        <v>0.66410879629629627</v>
      </c>
      <c r="C135" s="16">
        <v>0.664525462962963</v>
      </c>
      <c r="E135" s="17">
        <f t="shared" si="6"/>
        <v>57379</v>
      </c>
      <c r="F135" s="17">
        <f t="shared" si="7"/>
        <v>57415</v>
      </c>
      <c r="G135">
        <f t="shared" si="8"/>
        <v>36</v>
      </c>
    </row>
    <row r="136" spans="1:7" x14ac:dyDescent="0.35">
      <c r="A136">
        <v>135</v>
      </c>
      <c r="B136" s="16">
        <v>0.664525462962963</v>
      </c>
      <c r="C136" s="16">
        <v>0.66489583333333335</v>
      </c>
      <c r="E136" s="17">
        <f t="shared" si="6"/>
        <v>57415</v>
      </c>
      <c r="F136" s="17">
        <f t="shared" si="7"/>
        <v>57447</v>
      </c>
      <c r="G136">
        <f t="shared" si="8"/>
        <v>32</v>
      </c>
    </row>
    <row r="137" spans="1:7" x14ac:dyDescent="0.35">
      <c r="A137">
        <v>136</v>
      </c>
      <c r="B137" s="16">
        <v>0.66489583333333335</v>
      </c>
      <c r="C137" s="16">
        <v>0.6652893518518519</v>
      </c>
      <c r="E137" s="17">
        <f t="shared" si="6"/>
        <v>57447</v>
      </c>
      <c r="F137" s="17">
        <f t="shared" si="7"/>
        <v>57481.000000000007</v>
      </c>
      <c r="G137">
        <f t="shared" si="8"/>
        <v>34.000000000007276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02C5-8B3F-40FB-8156-14975ED71484}">
  <dimension ref="A1:C137"/>
  <sheetViews>
    <sheetView zoomScale="205" zoomScaleNormal="205" workbookViewId="0">
      <selection activeCell="C1" sqref="C1:D1048576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>
        <v>1</v>
      </c>
      <c r="C2">
        <v>44.000000000007276</v>
      </c>
    </row>
    <row r="3" spans="1:3" x14ac:dyDescent="0.35">
      <c r="A3">
        <v>2</v>
      </c>
      <c r="C3">
        <v>34.999999999992724</v>
      </c>
    </row>
    <row r="4" spans="1:3" x14ac:dyDescent="0.35">
      <c r="A4">
        <v>3</v>
      </c>
      <c r="B4" t="s">
        <v>419</v>
      </c>
      <c r="C4">
        <v>145</v>
      </c>
    </row>
    <row r="5" spans="1:3" x14ac:dyDescent="0.35">
      <c r="A5">
        <v>4</v>
      </c>
      <c r="C5">
        <v>36.000000000007276</v>
      </c>
    </row>
    <row r="6" spans="1:3" x14ac:dyDescent="0.35">
      <c r="A6">
        <v>5</v>
      </c>
      <c r="C6">
        <v>34.000000000007276</v>
      </c>
    </row>
    <row r="7" spans="1:3" x14ac:dyDescent="0.35">
      <c r="A7">
        <v>6</v>
      </c>
      <c r="B7" t="s">
        <v>484</v>
      </c>
      <c r="C7">
        <v>95.999999999992724</v>
      </c>
    </row>
    <row r="8" spans="1:3" x14ac:dyDescent="0.35">
      <c r="A8">
        <v>7</v>
      </c>
      <c r="C8">
        <v>34</v>
      </c>
    </row>
    <row r="9" spans="1:3" x14ac:dyDescent="0.35">
      <c r="A9">
        <v>8</v>
      </c>
      <c r="C9">
        <v>33</v>
      </c>
    </row>
    <row r="10" spans="1:3" x14ac:dyDescent="0.35">
      <c r="A10">
        <v>9</v>
      </c>
      <c r="C10">
        <v>36</v>
      </c>
    </row>
    <row r="11" spans="1:3" x14ac:dyDescent="0.35">
      <c r="A11">
        <v>10</v>
      </c>
      <c r="C11">
        <v>42</v>
      </c>
    </row>
    <row r="12" spans="1:3" x14ac:dyDescent="0.35">
      <c r="A12">
        <v>11</v>
      </c>
      <c r="C12">
        <v>32</v>
      </c>
    </row>
    <row r="13" spans="1:3" x14ac:dyDescent="0.35">
      <c r="A13">
        <v>12</v>
      </c>
      <c r="C13">
        <v>35</v>
      </c>
    </row>
    <row r="14" spans="1:3" x14ac:dyDescent="0.35">
      <c r="A14">
        <v>13</v>
      </c>
      <c r="C14">
        <v>31.999999999992724</v>
      </c>
    </row>
    <row r="15" spans="1:3" x14ac:dyDescent="0.35">
      <c r="A15">
        <v>14</v>
      </c>
      <c r="C15">
        <v>47.000000000007276</v>
      </c>
    </row>
    <row r="16" spans="1:3" x14ac:dyDescent="0.35">
      <c r="A16">
        <v>15</v>
      </c>
      <c r="C16">
        <v>31.999999999992724</v>
      </c>
    </row>
    <row r="17" spans="1:3" x14ac:dyDescent="0.35">
      <c r="A17">
        <v>16</v>
      </c>
      <c r="B17" t="s">
        <v>484</v>
      </c>
      <c r="C17">
        <v>72.000000000007276</v>
      </c>
    </row>
    <row r="18" spans="1:3" x14ac:dyDescent="0.35">
      <c r="A18">
        <v>17</v>
      </c>
      <c r="B18" t="s">
        <v>484</v>
      </c>
      <c r="C18">
        <v>64.000000000007276</v>
      </c>
    </row>
    <row r="19" spans="1:3" x14ac:dyDescent="0.35">
      <c r="A19">
        <v>18</v>
      </c>
      <c r="B19" t="s">
        <v>484</v>
      </c>
      <c r="C19">
        <v>77.999999999992724</v>
      </c>
    </row>
    <row r="20" spans="1:3" x14ac:dyDescent="0.35">
      <c r="A20">
        <v>19</v>
      </c>
      <c r="B20" t="s">
        <v>484</v>
      </c>
      <c r="C20">
        <v>58</v>
      </c>
    </row>
    <row r="21" spans="1:3" x14ac:dyDescent="0.35">
      <c r="A21">
        <v>20</v>
      </c>
      <c r="B21" t="s">
        <v>484</v>
      </c>
      <c r="C21">
        <v>128</v>
      </c>
    </row>
    <row r="22" spans="1:3" x14ac:dyDescent="0.35">
      <c r="A22">
        <v>21</v>
      </c>
      <c r="C22">
        <v>41.999999999992724</v>
      </c>
    </row>
    <row r="23" spans="1:3" x14ac:dyDescent="0.35">
      <c r="A23">
        <v>22</v>
      </c>
      <c r="C23">
        <v>45.999999999992724</v>
      </c>
    </row>
    <row r="24" spans="1:3" x14ac:dyDescent="0.35">
      <c r="A24">
        <v>23</v>
      </c>
      <c r="C24">
        <v>47.999999999992724</v>
      </c>
    </row>
    <row r="25" spans="1:3" x14ac:dyDescent="0.35">
      <c r="A25">
        <v>24</v>
      </c>
      <c r="C25">
        <v>44.000000000007276</v>
      </c>
    </row>
    <row r="26" spans="1:3" x14ac:dyDescent="0.35">
      <c r="A26">
        <v>25</v>
      </c>
      <c r="C26">
        <v>42</v>
      </c>
    </row>
    <row r="27" spans="1:3" x14ac:dyDescent="0.35">
      <c r="A27">
        <v>26</v>
      </c>
      <c r="C27">
        <v>45</v>
      </c>
    </row>
    <row r="28" spans="1:3" x14ac:dyDescent="0.35">
      <c r="A28">
        <v>27</v>
      </c>
      <c r="C28">
        <v>44</v>
      </c>
    </row>
    <row r="29" spans="1:3" x14ac:dyDescent="0.35">
      <c r="A29">
        <v>28</v>
      </c>
      <c r="C29">
        <v>45</v>
      </c>
    </row>
    <row r="30" spans="1:3" x14ac:dyDescent="0.35">
      <c r="A30">
        <v>29</v>
      </c>
      <c r="C30">
        <v>46</v>
      </c>
    </row>
    <row r="31" spans="1:3" x14ac:dyDescent="0.35">
      <c r="A31">
        <v>30</v>
      </c>
      <c r="C31">
        <v>46</v>
      </c>
    </row>
    <row r="32" spans="1:3" x14ac:dyDescent="0.35">
      <c r="A32">
        <v>31</v>
      </c>
      <c r="B32" t="s">
        <v>484</v>
      </c>
      <c r="C32">
        <v>250.00000000000728</v>
      </c>
    </row>
    <row r="33" spans="1:3" x14ac:dyDescent="0.35">
      <c r="A33">
        <v>32</v>
      </c>
      <c r="C33">
        <v>58</v>
      </c>
    </row>
    <row r="34" spans="1:3" x14ac:dyDescent="0.35">
      <c r="A34">
        <v>33</v>
      </c>
      <c r="C34">
        <v>53.000000000007276</v>
      </c>
    </row>
    <row r="35" spans="1:3" x14ac:dyDescent="0.35">
      <c r="A35">
        <v>34</v>
      </c>
      <c r="C35">
        <v>46.999999999985448</v>
      </c>
    </row>
    <row r="36" spans="1:3" x14ac:dyDescent="0.35">
      <c r="A36">
        <v>35</v>
      </c>
      <c r="B36" t="s">
        <v>519</v>
      </c>
      <c r="C36">
        <v>66</v>
      </c>
    </row>
    <row r="37" spans="1:3" x14ac:dyDescent="0.35">
      <c r="A37">
        <v>36</v>
      </c>
      <c r="C37">
        <v>37</v>
      </c>
    </row>
    <row r="38" spans="1:3" x14ac:dyDescent="0.35">
      <c r="A38">
        <v>37</v>
      </c>
      <c r="C38">
        <v>37</v>
      </c>
    </row>
    <row r="39" spans="1:3" x14ac:dyDescent="0.35">
      <c r="A39">
        <v>38</v>
      </c>
      <c r="C39">
        <v>43</v>
      </c>
    </row>
    <row r="40" spans="1:3" x14ac:dyDescent="0.35">
      <c r="A40">
        <v>39</v>
      </c>
      <c r="C40">
        <v>42</v>
      </c>
    </row>
    <row r="41" spans="1:3" x14ac:dyDescent="0.35">
      <c r="A41">
        <v>40</v>
      </c>
      <c r="C41">
        <v>41</v>
      </c>
    </row>
    <row r="42" spans="1:3" x14ac:dyDescent="0.35">
      <c r="A42">
        <v>41</v>
      </c>
      <c r="C42">
        <v>45</v>
      </c>
    </row>
    <row r="43" spans="1:3" x14ac:dyDescent="0.35">
      <c r="A43">
        <v>42</v>
      </c>
      <c r="C43">
        <v>43</v>
      </c>
    </row>
    <row r="44" spans="1:3" x14ac:dyDescent="0.35">
      <c r="A44">
        <v>43</v>
      </c>
      <c r="C44">
        <v>48.999999999992724</v>
      </c>
    </row>
    <row r="45" spans="1:3" x14ac:dyDescent="0.35">
      <c r="A45">
        <v>44</v>
      </c>
      <c r="C45">
        <v>46.000000000007276</v>
      </c>
    </row>
    <row r="46" spans="1:3" x14ac:dyDescent="0.35">
      <c r="A46">
        <v>45</v>
      </c>
      <c r="C46">
        <v>45</v>
      </c>
    </row>
    <row r="47" spans="1:3" x14ac:dyDescent="0.35">
      <c r="A47">
        <v>46</v>
      </c>
      <c r="C47">
        <v>46</v>
      </c>
    </row>
    <row r="48" spans="1:3" x14ac:dyDescent="0.35">
      <c r="A48">
        <v>47</v>
      </c>
      <c r="C48">
        <v>48</v>
      </c>
    </row>
    <row r="49" spans="1:3" x14ac:dyDescent="0.35">
      <c r="A49">
        <v>48</v>
      </c>
      <c r="C49">
        <v>53</v>
      </c>
    </row>
    <row r="50" spans="1:3" x14ac:dyDescent="0.35">
      <c r="A50">
        <v>49</v>
      </c>
      <c r="C50">
        <v>46.000000000007276</v>
      </c>
    </row>
    <row r="51" spans="1:3" x14ac:dyDescent="0.35">
      <c r="A51">
        <v>50</v>
      </c>
      <c r="C51">
        <v>49.999999999992724</v>
      </c>
    </row>
    <row r="52" spans="1:3" x14ac:dyDescent="0.35">
      <c r="A52">
        <v>51</v>
      </c>
      <c r="C52">
        <v>50</v>
      </c>
    </row>
    <row r="53" spans="1:3" x14ac:dyDescent="0.35">
      <c r="A53">
        <v>52</v>
      </c>
      <c r="B53" t="s">
        <v>519</v>
      </c>
      <c r="C53">
        <v>69</v>
      </c>
    </row>
    <row r="54" spans="1:3" x14ac:dyDescent="0.35">
      <c r="A54">
        <v>53</v>
      </c>
      <c r="C54">
        <v>39</v>
      </c>
    </row>
    <row r="55" spans="1:3" x14ac:dyDescent="0.35">
      <c r="A55">
        <v>54</v>
      </c>
      <c r="C55">
        <v>40</v>
      </c>
    </row>
    <row r="56" spans="1:3" x14ac:dyDescent="0.35">
      <c r="A56">
        <v>55</v>
      </c>
      <c r="C56">
        <v>43</v>
      </c>
    </row>
    <row r="57" spans="1:3" x14ac:dyDescent="0.35">
      <c r="A57">
        <v>56</v>
      </c>
      <c r="C57">
        <v>39</v>
      </c>
    </row>
    <row r="58" spans="1:3" x14ac:dyDescent="0.35">
      <c r="A58">
        <v>57</v>
      </c>
      <c r="C58">
        <v>37.999999999992724</v>
      </c>
    </row>
    <row r="59" spans="1:3" x14ac:dyDescent="0.35">
      <c r="A59">
        <v>58</v>
      </c>
      <c r="C59">
        <v>39.000000000007276</v>
      </c>
    </row>
    <row r="60" spans="1:3" x14ac:dyDescent="0.35">
      <c r="A60">
        <v>59</v>
      </c>
      <c r="C60">
        <v>38</v>
      </c>
    </row>
    <row r="61" spans="1:3" x14ac:dyDescent="0.35">
      <c r="A61">
        <v>60</v>
      </c>
      <c r="C61">
        <v>41</v>
      </c>
    </row>
    <row r="62" spans="1:3" x14ac:dyDescent="0.35">
      <c r="A62">
        <v>61</v>
      </c>
      <c r="C62">
        <v>37.000000000007276</v>
      </c>
    </row>
    <row r="63" spans="1:3" x14ac:dyDescent="0.35">
      <c r="A63">
        <v>62</v>
      </c>
      <c r="C63">
        <v>42.999999999992724</v>
      </c>
    </row>
    <row r="64" spans="1:3" x14ac:dyDescent="0.35">
      <c r="A64">
        <v>63</v>
      </c>
      <c r="C64">
        <v>34</v>
      </c>
    </row>
    <row r="65" spans="1:3" x14ac:dyDescent="0.35">
      <c r="A65">
        <v>64</v>
      </c>
      <c r="C65">
        <v>37</v>
      </c>
    </row>
    <row r="66" spans="1:3" x14ac:dyDescent="0.35">
      <c r="A66">
        <v>65</v>
      </c>
      <c r="C66">
        <v>35</v>
      </c>
    </row>
    <row r="67" spans="1:3" x14ac:dyDescent="0.35">
      <c r="A67">
        <v>66</v>
      </c>
      <c r="C67">
        <v>45</v>
      </c>
    </row>
    <row r="68" spans="1:3" x14ac:dyDescent="0.35">
      <c r="A68">
        <v>67</v>
      </c>
      <c r="C68">
        <v>35.999999999992724</v>
      </c>
    </row>
    <row r="69" spans="1:3" x14ac:dyDescent="0.35">
      <c r="A69">
        <v>68</v>
      </c>
      <c r="C69">
        <v>37.000000000007276</v>
      </c>
    </row>
    <row r="70" spans="1:3" x14ac:dyDescent="0.35">
      <c r="A70">
        <v>69</v>
      </c>
      <c r="C70">
        <v>36.000000000007276</v>
      </c>
    </row>
    <row r="71" spans="1:3" x14ac:dyDescent="0.35">
      <c r="A71">
        <v>70</v>
      </c>
      <c r="C71">
        <v>55</v>
      </c>
    </row>
    <row r="72" spans="1:3" x14ac:dyDescent="0.35">
      <c r="A72">
        <v>71</v>
      </c>
      <c r="C72">
        <v>36</v>
      </c>
    </row>
    <row r="73" spans="1:3" x14ac:dyDescent="0.35">
      <c r="A73">
        <v>72</v>
      </c>
      <c r="C73">
        <v>37.000000000007276</v>
      </c>
    </row>
    <row r="74" spans="1:3" x14ac:dyDescent="0.35">
      <c r="A74">
        <v>73</v>
      </c>
      <c r="C74">
        <v>38</v>
      </c>
    </row>
    <row r="75" spans="1:3" x14ac:dyDescent="0.35">
      <c r="A75">
        <v>74</v>
      </c>
      <c r="C75">
        <v>37.999999999992724</v>
      </c>
    </row>
    <row r="76" spans="1:3" x14ac:dyDescent="0.35">
      <c r="A76">
        <v>75</v>
      </c>
      <c r="C76">
        <v>33</v>
      </c>
    </row>
    <row r="77" spans="1:3" x14ac:dyDescent="0.35">
      <c r="A77">
        <v>76</v>
      </c>
      <c r="C77">
        <v>32</v>
      </c>
    </row>
    <row r="78" spans="1:3" x14ac:dyDescent="0.35">
      <c r="A78">
        <v>77</v>
      </c>
      <c r="B78" t="s">
        <v>484</v>
      </c>
      <c r="C78">
        <v>56</v>
      </c>
    </row>
    <row r="79" spans="1:3" x14ac:dyDescent="0.35">
      <c r="A79">
        <v>78</v>
      </c>
      <c r="B79" t="s">
        <v>484</v>
      </c>
      <c r="C79">
        <v>63</v>
      </c>
    </row>
    <row r="80" spans="1:3" x14ac:dyDescent="0.35">
      <c r="A80">
        <v>79</v>
      </c>
      <c r="C80">
        <v>32.999999999992724</v>
      </c>
    </row>
    <row r="81" spans="1:3" x14ac:dyDescent="0.35">
      <c r="A81">
        <v>80</v>
      </c>
      <c r="C81">
        <v>28.000000000007276</v>
      </c>
    </row>
    <row r="82" spans="1:3" x14ac:dyDescent="0.35">
      <c r="A82">
        <v>81</v>
      </c>
      <c r="C82">
        <v>31.999999999992724</v>
      </c>
    </row>
    <row r="83" spans="1:3" x14ac:dyDescent="0.35">
      <c r="A83">
        <v>82</v>
      </c>
      <c r="C83">
        <v>30.000000000007276</v>
      </c>
    </row>
    <row r="84" spans="1:3" x14ac:dyDescent="0.35">
      <c r="A84">
        <v>83</v>
      </c>
      <c r="C84">
        <v>29</v>
      </c>
    </row>
    <row r="85" spans="1:3" x14ac:dyDescent="0.35">
      <c r="A85">
        <v>84</v>
      </c>
      <c r="C85">
        <v>29</v>
      </c>
    </row>
    <row r="86" spans="1:3" x14ac:dyDescent="0.35">
      <c r="A86">
        <v>85</v>
      </c>
      <c r="C86">
        <v>28</v>
      </c>
    </row>
    <row r="87" spans="1:3" x14ac:dyDescent="0.35">
      <c r="A87">
        <v>86</v>
      </c>
      <c r="C87">
        <v>25.999999999992724</v>
      </c>
    </row>
    <row r="88" spans="1:3" x14ac:dyDescent="0.35">
      <c r="A88">
        <v>87</v>
      </c>
      <c r="C88">
        <v>35.000000000014552</v>
      </c>
    </row>
    <row r="89" spans="1:3" x14ac:dyDescent="0.35">
      <c r="A89">
        <v>88</v>
      </c>
      <c r="C89">
        <v>41</v>
      </c>
    </row>
    <row r="90" spans="1:3" x14ac:dyDescent="0.35">
      <c r="A90">
        <v>89</v>
      </c>
      <c r="C90">
        <v>40</v>
      </c>
    </row>
    <row r="91" spans="1:3" x14ac:dyDescent="0.35">
      <c r="A91">
        <v>90</v>
      </c>
      <c r="C91">
        <v>56</v>
      </c>
    </row>
    <row r="92" spans="1:3" x14ac:dyDescent="0.35">
      <c r="A92">
        <v>91</v>
      </c>
      <c r="C92">
        <v>42</v>
      </c>
    </row>
    <row r="93" spans="1:3" x14ac:dyDescent="0.35">
      <c r="A93">
        <v>92</v>
      </c>
      <c r="C93">
        <v>37</v>
      </c>
    </row>
    <row r="94" spans="1:3" x14ac:dyDescent="0.35">
      <c r="A94">
        <v>93</v>
      </c>
      <c r="C94">
        <v>36.999999999992724</v>
      </c>
    </row>
    <row r="95" spans="1:3" x14ac:dyDescent="0.35">
      <c r="A95">
        <v>94</v>
      </c>
      <c r="C95">
        <v>41</v>
      </c>
    </row>
    <row r="96" spans="1:3" x14ac:dyDescent="0.35">
      <c r="A96">
        <v>95</v>
      </c>
      <c r="C96">
        <v>40.000000000007276</v>
      </c>
    </row>
    <row r="97" spans="1:3" x14ac:dyDescent="0.35">
      <c r="A97">
        <v>96</v>
      </c>
      <c r="C97">
        <v>38.999999999992724</v>
      </c>
    </row>
    <row r="98" spans="1:3" x14ac:dyDescent="0.35">
      <c r="A98">
        <v>97</v>
      </c>
      <c r="C98">
        <v>42.000000000007276</v>
      </c>
    </row>
    <row r="99" spans="1:3" x14ac:dyDescent="0.35">
      <c r="A99">
        <v>98</v>
      </c>
      <c r="C99">
        <v>44</v>
      </c>
    </row>
    <row r="100" spans="1:3" x14ac:dyDescent="0.35">
      <c r="A100">
        <v>99</v>
      </c>
      <c r="C100">
        <v>36.999999999992724</v>
      </c>
    </row>
    <row r="101" spans="1:3" x14ac:dyDescent="0.35">
      <c r="A101">
        <v>100</v>
      </c>
      <c r="C101">
        <v>40.000000000007276</v>
      </c>
    </row>
    <row r="102" spans="1:3" x14ac:dyDescent="0.35">
      <c r="A102">
        <v>101</v>
      </c>
      <c r="C102">
        <v>38.999999999992724</v>
      </c>
    </row>
    <row r="103" spans="1:3" x14ac:dyDescent="0.35">
      <c r="A103">
        <v>102</v>
      </c>
      <c r="C103">
        <v>39.000000000007276</v>
      </c>
    </row>
    <row r="104" spans="1:3" x14ac:dyDescent="0.35">
      <c r="A104">
        <v>103</v>
      </c>
      <c r="B104" t="s">
        <v>519</v>
      </c>
      <c r="C104">
        <v>60</v>
      </c>
    </row>
    <row r="105" spans="1:3" x14ac:dyDescent="0.35">
      <c r="A105">
        <v>104</v>
      </c>
      <c r="B105" t="s">
        <v>484</v>
      </c>
      <c r="C105">
        <v>68</v>
      </c>
    </row>
    <row r="106" spans="1:3" x14ac:dyDescent="0.35">
      <c r="A106">
        <v>105</v>
      </c>
      <c r="C106">
        <v>53</v>
      </c>
    </row>
    <row r="107" spans="1:3" x14ac:dyDescent="0.35">
      <c r="A107">
        <v>106</v>
      </c>
      <c r="C107">
        <v>35</v>
      </c>
    </row>
    <row r="108" spans="1:3" x14ac:dyDescent="0.35">
      <c r="A108">
        <v>107</v>
      </c>
      <c r="C108">
        <v>34</v>
      </c>
    </row>
    <row r="109" spans="1:3" x14ac:dyDescent="0.35">
      <c r="A109">
        <v>108</v>
      </c>
      <c r="C109">
        <v>32.999999999992724</v>
      </c>
    </row>
    <row r="110" spans="1:3" x14ac:dyDescent="0.35">
      <c r="A110">
        <v>109</v>
      </c>
      <c r="C110">
        <v>38</v>
      </c>
    </row>
    <row r="111" spans="1:3" x14ac:dyDescent="0.35">
      <c r="A111">
        <v>110</v>
      </c>
      <c r="C111">
        <v>35.000000000014552</v>
      </c>
    </row>
    <row r="112" spans="1:3" x14ac:dyDescent="0.35">
      <c r="A112">
        <v>111</v>
      </c>
      <c r="C112">
        <v>36.999999999992724</v>
      </c>
    </row>
    <row r="113" spans="1:3" x14ac:dyDescent="0.35">
      <c r="A113">
        <v>112</v>
      </c>
      <c r="C113">
        <v>37</v>
      </c>
    </row>
    <row r="114" spans="1:3" x14ac:dyDescent="0.35">
      <c r="A114">
        <v>113</v>
      </c>
      <c r="C114">
        <v>37</v>
      </c>
    </row>
    <row r="115" spans="1:3" x14ac:dyDescent="0.35">
      <c r="A115">
        <v>114</v>
      </c>
      <c r="C115">
        <v>36.999999999992724</v>
      </c>
    </row>
    <row r="116" spans="1:3" x14ac:dyDescent="0.35">
      <c r="A116">
        <v>115</v>
      </c>
      <c r="C116">
        <v>40.000000000007276</v>
      </c>
    </row>
    <row r="117" spans="1:3" x14ac:dyDescent="0.35">
      <c r="A117">
        <v>116</v>
      </c>
      <c r="C117">
        <v>52</v>
      </c>
    </row>
    <row r="118" spans="1:3" x14ac:dyDescent="0.35">
      <c r="A118">
        <v>117</v>
      </c>
      <c r="C118">
        <v>55</v>
      </c>
    </row>
    <row r="119" spans="1:3" x14ac:dyDescent="0.35">
      <c r="A119">
        <v>118</v>
      </c>
      <c r="C119">
        <v>41</v>
      </c>
    </row>
    <row r="120" spans="1:3" x14ac:dyDescent="0.35">
      <c r="A120">
        <v>119</v>
      </c>
      <c r="C120">
        <v>40</v>
      </c>
    </row>
    <row r="121" spans="1:3" x14ac:dyDescent="0.35">
      <c r="A121">
        <v>120</v>
      </c>
      <c r="B121" t="s">
        <v>519</v>
      </c>
      <c r="C121">
        <v>67</v>
      </c>
    </row>
    <row r="122" spans="1:3" x14ac:dyDescent="0.35">
      <c r="A122">
        <v>121</v>
      </c>
      <c r="C122">
        <v>36</v>
      </c>
    </row>
    <row r="123" spans="1:3" x14ac:dyDescent="0.35">
      <c r="A123">
        <v>122</v>
      </c>
      <c r="C123">
        <v>33.999999999992724</v>
      </c>
    </row>
    <row r="124" spans="1:3" x14ac:dyDescent="0.35">
      <c r="A124">
        <v>123</v>
      </c>
      <c r="C124">
        <v>42.000000000007276</v>
      </c>
    </row>
    <row r="125" spans="1:3" x14ac:dyDescent="0.35">
      <c r="A125">
        <v>124</v>
      </c>
      <c r="C125">
        <v>33.999999999992724</v>
      </c>
    </row>
    <row r="126" spans="1:3" x14ac:dyDescent="0.35">
      <c r="A126">
        <v>125</v>
      </c>
      <c r="C126">
        <v>32.000000000007276</v>
      </c>
    </row>
    <row r="127" spans="1:3" x14ac:dyDescent="0.35">
      <c r="A127">
        <v>126</v>
      </c>
      <c r="C127">
        <v>33</v>
      </c>
    </row>
    <row r="128" spans="1:3" x14ac:dyDescent="0.35">
      <c r="A128">
        <v>127</v>
      </c>
      <c r="C128">
        <v>32</v>
      </c>
    </row>
    <row r="129" spans="1:3" x14ac:dyDescent="0.35">
      <c r="A129">
        <v>128</v>
      </c>
      <c r="C129">
        <v>31</v>
      </c>
    </row>
    <row r="130" spans="1:3" x14ac:dyDescent="0.35">
      <c r="A130">
        <v>129</v>
      </c>
      <c r="C130">
        <v>32</v>
      </c>
    </row>
    <row r="131" spans="1:3" x14ac:dyDescent="0.35">
      <c r="A131">
        <v>130</v>
      </c>
      <c r="C131">
        <v>30</v>
      </c>
    </row>
    <row r="132" spans="1:3" x14ac:dyDescent="0.35">
      <c r="A132">
        <v>131</v>
      </c>
      <c r="C132">
        <v>29</v>
      </c>
    </row>
    <row r="133" spans="1:3" x14ac:dyDescent="0.35">
      <c r="A133">
        <v>132</v>
      </c>
      <c r="C133">
        <v>31</v>
      </c>
    </row>
    <row r="134" spans="1:3" x14ac:dyDescent="0.35">
      <c r="A134">
        <v>133</v>
      </c>
      <c r="C134">
        <v>30</v>
      </c>
    </row>
    <row r="135" spans="1:3" x14ac:dyDescent="0.35">
      <c r="A135">
        <v>134</v>
      </c>
      <c r="C135">
        <v>36</v>
      </c>
    </row>
    <row r="136" spans="1:3" x14ac:dyDescent="0.35">
      <c r="A136">
        <v>135</v>
      </c>
      <c r="C136">
        <v>32</v>
      </c>
    </row>
    <row r="137" spans="1:3" x14ac:dyDescent="0.35">
      <c r="A137">
        <v>136</v>
      </c>
      <c r="C137">
        <v>34.000000000007276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AA0F-AFC1-4AE4-A788-6A7D6D0C2807}">
  <dimension ref="A1:B122"/>
  <sheetViews>
    <sheetView zoomScale="205" zoomScaleNormal="205" workbookViewId="0">
      <selection sqref="A1:B1"/>
    </sheetView>
  </sheetViews>
  <sheetFormatPr defaultRowHeight="14.5" x14ac:dyDescent="0.35"/>
  <sheetData>
    <row r="1" spans="1:2" x14ac:dyDescent="0.35">
      <c r="A1" t="s">
        <v>627</v>
      </c>
      <c r="B1" t="s">
        <v>476</v>
      </c>
    </row>
    <row r="2" spans="1:2" x14ac:dyDescent="0.35">
      <c r="A2">
        <v>1</v>
      </c>
      <c r="B2">
        <v>44.000000000007276</v>
      </c>
    </row>
    <row r="3" spans="1:2" x14ac:dyDescent="0.35">
      <c r="A3">
        <v>2</v>
      </c>
      <c r="B3">
        <v>34.999999999992724</v>
      </c>
    </row>
    <row r="4" spans="1:2" x14ac:dyDescent="0.35">
      <c r="A4">
        <v>4</v>
      </c>
      <c r="B4">
        <v>36.000000000007276</v>
      </c>
    </row>
    <row r="5" spans="1:2" x14ac:dyDescent="0.35">
      <c r="A5">
        <v>5</v>
      </c>
      <c r="B5">
        <v>34.000000000007276</v>
      </c>
    </row>
    <row r="6" spans="1:2" x14ac:dyDescent="0.35">
      <c r="A6">
        <v>7</v>
      </c>
      <c r="B6">
        <v>34</v>
      </c>
    </row>
    <row r="7" spans="1:2" x14ac:dyDescent="0.35">
      <c r="A7">
        <v>8</v>
      </c>
      <c r="B7">
        <v>33</v>
      </c>
    </row>
    <row r="8" spans="1:2" x14ac:dyDescent="0.35">
      <c r="A8">
        <v>9</v>
      </c>
      <c r="B8">
        <v>36</v>
      </c>
    </row>
    <row r="9" spans="1:2" x14ac:dyDescent="0.35">
      <c r="A9">
        <v>10</v>
      </c>
      <c r="B9">
        <v>42</v>
      </c>
    </row>
    <row r="10" spans="1:2" x14ac:dyDescent="0.35">
      <c r="A10">
        <v>11</v>
      </c>
      <c r="B10">
        <v>32</v>
      </c>
    </row>
    <row r="11" spans="1:2" x14ac:dyDescent="0.35">
      <c r="A11">
        <v>12</v>
      </c>
      <c r="B11">
        <v>35</v>
      </c>
    </row>
    <row r="12" spans="1:2" x14ac:dyDescent="0.35">
      <c r="A12">
        <v>13</v>
      </c>
      <c r="B12">
        <v>31.999999999992724</v>
      </c>
    </row>
    <row r="13" spans="1:2" x14ac:dyDescent="0.35">
      <c r="A13">
        <v>14</v>
      </c>
      <c r="B13">
        <v>47.000000000007276</v>
      </c>
    </row>
    <row r="14" spans="1:2" x14ac:dyDescent="0.35">
      <c r="A14">
        <v>15</v>
      </c>
      <c r="B14">
        <v>31.999999999992724</v>
      </c>
    </row>
    <row r="15" spans="1:2" x14ac:dyDescent="0.35">
      <c r="A15">
        <v>21</v>
      </c>
      <c r="B15">
        <v>41.999999999992724</v>
      </c>
    </row>
    <row r="16" spans="1:2" x14ac:dyDescent="0.35">
      <c r="A16">
        <v>22</v>
      </c>
      <c r="B16">
        <v>45.999999999992724</v>
      </c>
    </row>
    <row r="17" spans="1:2" x14ac:dyDescent="0.35">
      <c r="A17">
        <v>23</v>
      </c>
      <c r="B17">
        <v>47.999999999992724</v>
      </c>
    </row>
    <row r="18" spans="1:2" x14ac:dyDescent="0.35">
      <c r="A18">
        <v>24</v>
      </c>
      <c r="B18">
        <v>44.000000000007276</v>
      </c>
    </row>
    <row r="19" spans="1:2" x14ac:dyDescent="0.35">
      <c r="A19">
        <v>25</v>
      </c>
      <c r="B19">
        <v>42</v>
      </c>
    </row>
    <row r="20" spans="1:2" x14ac:dyDescent="0.35">
      <c r="A20">
        <v>26</v>
      </c>
      <c r="B20">
        <v>45</v>
      </c>
    </row>
    <row r="21" spans="1:2" x14ac:dyDescent="0.35">
      <c r="A21">
        <v>27</v>
      </c>
      <c r="B21">
        <v>44</v>
      </c>
    </row>
    <row r="22" spans="1:2" x14ac:dyDescent="0.35">
      <c r="A22">
        <v>28</v>
      </c>
      <c r="B22">
        <v>45</v>
      </c>
    </row>
    <row r="23" spans="1:2" x14ac:dyDescent="0.35">
      <c r="A23">
        <v>29</v>
      </c>
      <c r="B23">
        <v>46</v>
      </c>
    </row>
    <row r="24" spans="1:2" x14ac:dyDescent="0.35">
      <c r="A24">
        <v>30</v>
      </c>
      <c r="B24">
        <v>46</v>
      </c>
    </row>
    <row r="25" spans="1:2" x14ac:dyDescent="0.35">
      <c r="A25">
        <v>32</v>
      </c>
      <c r="B25">
        <v>58</v>
      </c>
    </row>
    <row r="26" spans="1:2" x14ac:dyDescent="0.35">
      <c r="A26">
        <v>33</v>
      </c>
      <c r="B26">
        <v>53.000000000007276</v>
      </c>
    </row>
    <row r="27" spans="1:2" x14ac:dyDescent="0.35">
      <c r="A27">
        <v>34</v>
      </c>
      <c r="B27">
        <v>46.999999999985448</v>
      </c>
    </row>
    <row r="28" spans="1:2" x14ac:dyDescent="0.35">
      <c r="A28">
        <v>36</v>
      </c>
      <c r="B28">
        <v>37</v>
      </c>
    </row>
    <row r="29" spans="1:2" x14ac:dyDescent="0.35">
      <c r="A29">
        <v>37</v>
      </c>
      <c r="B29">
        <v>37</v>
      </c>
    </row>
    <row r="30" spans="1:2" x14ac:dyDescent="0.35">
      <c r="A30">
        <v>38</v>
      </c>
      <c r="B30">
        <v>43</v>
      </c>
    </row>
    <row r="31" spans="1:2" x14ac:dyDescent="0.35">
      <c r="A31">
        <v>39</v>
      </c>
      <c r="B31">
        <v>42</v>
      </c>
    </row>
    <row r="32" spans="1:2" x14ac:dyDescent="0.35">
      <c r="A32">
        <v>40</v>
      </c>
      <c r="B32">
        <v>41</v>
      </c>
    </row>
    <row r="33" spans="1:2" x14ac:dyDescent="0.35">
      <c r="A33">
        <v>41</v>
      </c>
      <c r="B33">
        <v>45</v>
      </c>
    </row>
    <row r="34" spans="1:2" x14ac:dyDescent="0.35">
      <c r="A34">
        <v>42</v>
      </c>
      <c r="B34">
        <v>43</v>
      </c>
    </row>
    <row r="35" spans="1:2" x14ac:dyDescent="0.35">
      <c r="A35">
        <v>43</v>
      </c>
      <c r="B35">
        <v>48.999999999992724</v>
      </c>
    </row>
    <row r="36" spans="1:2" x14ac:dyDescent="0.35">
      <c r="A36">
        <v>44</v>
      </c>
      <c r="B36">
        <v>46.000000000007276</v>
      </c>
    </row>
    <row r="37" spans="1:2" x14ac:dyDescent="0.35">
      <c r="A37">
        <v>45</v>
      </c>
      <c r="B37">
        <v>45</v>
      </c>
    </row>
    <row r="38" spans="1:2" x14ac:dyDescent="0.35">
      <c r="A38">
        <v>46</v>
      </c>
      <c r="B38">
        <v>46</v>
      </c>
    </row>
    <row r="39" spans="1:2" x14ac:dyDescent="0.35">
      <c r="A39">
        <v>47</v>
      </c>
      <c r="B39">
        <v>48</v>
      </c>
    </row>
    <row r="40" spans="1:2" x14ac:dyDescent="0.35">
      <c r="A40">
        <v>48</v>
      </c>
      <c r="B40">
        <v>53</v>
      </c>
    </row>
    <row r="41" spans="1:2" x14ac:dyDescent="0.35">
      <c r="A41">
        <v>49</v>
      </c>
      <c r="B41">
        <v>46.000000000007276</v>
      </c>
    </row>
    <row r="42" spans="1:2" x14ac:dyDescent="0.35">
      <c r="A42">
        <v>50</v>
      </c>
      <c r="B42">
        <v>49.999999999992724</v>
      </c>
    </row>
    <row r="43" spans="1:2" x14ac:dyDescent="0.35">
      <c r="A43">
        <v>51</v>
      </c>
      <c r="B43">
        <v>50</v>
      </c>
    </row>
    <row r="44" spans="1:2" x14ac:dyDescent="0.35">
      <c r="A44">
        <v>53</v>
      </c>
      <c r="B44">
        <v>39</v>
      </c>
    </row>
    <row r="45" spans="1:2" x14ac:dyDescent="0.35">
      <c r="A45">
        <v>54</v>
      </c>
      <c r="B45">
        <v>40</v>
      </c>
    </row>
    <row r="46" spans="1:2" x14ac:dyDescent="0.35">
      <c r="A46">
        <v>55</v>
      </c>
      <c r="B46">
        <v>43</v>
      </c>
    </row>
    <row r="47" spans="1:2" x14ac:dyDescent="0.35">
      <c r="A47">
        <v>56</v>
      </c>
      <c r="B47">
        <v>39</v>
      </c>
    </row>
    <row r="48" spans="1:2" x14ac:dyDescent="0.35">
      <c r="A48">
        <v>57</v>
      </c>
      <c r="B48">
        <v>37.999999999992724</v>
      </c>
    </row>
    <row r="49" spans="1:2" x14ac:dyDescent="0.35">
      <c r="A49">
        <v>58</v>
      </c>
      <c r="B49">
        <v>39.000000000007276</v>
      </c>
    </row>
    <row r="50" spans="1:2" x14ac:dyDescent="0.35">
      <c r="A50">
        <v>59</v>
      </c>
      <c r="B50">
        <v>38</v>
      </c>
    </row>
    <row r="51" spans="1:2" x14ac:dyDescent="0.35">
      <c r="A51">
        <v>60</v>
      </c>
      <c r="B51">
        <v>41</v>
      </c>
    </row>
    <row r="52" spans="1:2" x14ac:dyDescent="0.35">
      <c r="A52">
        <v>61</v>
      </c>
      <c r="B52">
        <v>37.000000000007276</v>
      </c>
    </row>
    <row r="53" spans="1:2" x14ac:dyDescent="0.35">
      <c r="A53">
        <v>62</v>
      </c>
      <c r="B53">
        <v>42.999999999992724</v>
      </c>
    </row>
    <row r="54" spans="1:2" x14ac:dyDescent="0.35">
      <c r="A54">
        <v>63</v>
      </c>
      <c r="B54">
        <v>34</v>
      </c>
    </row>
    <row r="55" spans="1:2" x14ac:dyDescent="0.35">
      <c r="A55">
        <v>64</v>
      </c>
      <c r="B55">
        <v>37</v>
      </c>
    </row>
    <row r="56" spans="1:2" x14ac:dyDescent="0.35">
      <c r="A56">
        <v>65</v>
      </c>
      <c r="B56">
        <v>35</v>
      </c>
    </row>
    <row r="57" spans="1:2" x14ac:dyDescent="0.35">
      <c r="A57">
        <v>66</v>
      </c>
      <c r="B57">
        <v>45</v>
      </c>
    </row>
    <row r="58" spans="1:2" x14ac:dyDescent="0.35">
      <c r="A58">
        <v>67</v>
      </c>
      <c r="B58">
        <v>35.999999999992724</v>
      </c>
    </row>
    <row r="59" spans="1:2" x14ac:dyDescent="0.35">
      <c r="A59">
        <v>68</v>
      </c>
      <c r="B59">
        <v>37.000000000007276</v>
      </c>
    </row>
    <row r="60" spans="1:2" x14ac:dyDescent="0.35">
      <c r="A60">
        <v>69</v>
      </c>
      <c r="B60">
        <v>36.000000000007276</v>
      </c>
    </row>
    <row r="61" spans="1:2" x14ac:dyDescent="0.35">
      <c r="A61">
        <v>70</v>
      </c>
      <c r="B61">
        <v>55</v>
      </c>
    </row>
    <row r="62" spans="1:2" x14ac:dyDescent="0.35">
      <c r="A62">
        <v>71</v>
      </c>
      <c r="B62">
        <v>36</v>
      </c>
    </row>
    <row r="63" spans="1:2" x14ac:dyDescent="0.35">
      <c r="A63">
        <v>72</v>
      </c>
      <c r="B63">
        <v>37.000000000007276</v>
      </c>
    </row>
    <row r="64" spans="1:2" x14ac:dyDescent="0.35">
      <c r="A64">
        <v>73</v>
      </c>
      <c r="B64">
        <v>38</v>
      </c>
    </row>
    <row r="65" spans="1:2" x14ac:dyDescent="0.35">
      <c r="A65">
        <v>74</v>
      </c>
      <c r="B65">
        <v>37.999999999992724</v>
      </c>
    </row>
    <row r="66" spans="1:2" x14ac:dyDescent="0.35">
      <c r="A66">
        <v>75</v>
      </c>
      <c r="B66">
        <v>33</v>
      </c>
    </row>
    <row r="67" spans="1:2" x14ac:dyDescent="0.35">
      <c r="A67">
        <v>76</v>
      </c>
      <c r="B67">
        <v>32</v>
      </c>
    </row>
    <row r="68" spans="1:2" x14ac:dyDescent="0.35">
      <c r="A68">
        <v>79</v>
      </c>
      <c r="B68">
        <v>32.999999999992724</v>
      </c>
    </row>
    <row r="69" spans="1:2" x14ac:dyDescent="0.35">
      <c r="A69">
        <v>80</v>
      </c>
      <c r="B69">
        <v>28.000000000007276</v>
      </c>
    </row>
    <row r="70" spans="1:2" x14ac:dyDescent="0.35">
      <c r="A70">
        <v>81</v>
      </c>
      <c r="B70">
        <v>31.999999999992724</v>
      </c>
    </row>
    <row r="71" spans="1:2" x14ac:dyDescent="0.35">
      <c r="A71">
        <v>82</v>
      </c>
      <c r="B71">
        <v>30.000000000007276</v>
      </c>
    </row>
    <row r="72" spans="1:2" x14ac:dyDescent="0.35">
      <c r="A72">
        <v>83</v>
      </c>
      <c r="B72">
        <v>29</v>
      </c>
    </row>
    <row r="73" spans="1:2" x14ac:dyDescent="0.35">
      <c r="A73">
        <v>84</v>
      </c>
      <c r="B73">
        <v>29</v>
      </c>
    </row>
    <row r="74" spans="1:2" x14ac:dyDescent="0.35">
      <c r="A74">
        <v>85</v>
      </c>
      <c r="B74">
        <v>28</v>
      </c>
    </row>
    <row r="75" spans="1:2" x14ac:dyDescent="0.35">
      <c r="A75">
        <v>86</v>
      </c>
      <c r="B75">
        <v>25.999999999992724</v>
      </c>
    </row>
    <row r="76" spans="1:2" x14ac:dyDescent="0.35">
      <c r="A76">
        <v>87</v>
      </c>
      <c r="B76">
        <v>35.000000000014552</v>
      </c>
    </row>
    <row r="77" spans="1:2" x14ac:dyDescent="0.35">
      <c r="A77">
        <v>88</v>
      </c>
      <c r="B77">
        <v>41</v>
      </c>
    </row>
    <row r="78" spans="1:2" x14ac:dyDescent="0.35">
      <c r="A78">
        <v>89</v>
      </c>
      <c r="B78">
        <v>40</v>
      </c>
    </row>
    <row r="79" spans="1:2" x14ac:dyDescent="0.35">
      <c r="A79">
        <v>90</v>
      </c>
      <c r="B79">
        <v>56</v>
      </c>
    </row>
    <row r="80" spans="1:2" x14ac:dyDescent="0.35">
      <c r="A80">
        <v>91</v>
      </c>
      <c r="B80">
        <v>42</v>
      </c>
    </row>
    <row r="81" spans="1:2" x14ac:dyDescent="0.35">
      <c r="A81">
        <v>92</v>
      </c>
      <c r="B81">
        <v>37</v>
      </c>
    </row>
    <row r="82" spans="1:2" x14ac:dyDescent="0.35">
      <c r="A82">
        <v>93</v>
      </c>
      <c r="B82">
        <v>36.999999999992724</v>
      </c>
    </row>
    <row r="83" spans="1:2" x14ac:dyDescent="0.35">
      <c r="A83">
        <v>94</v>
      </c>
      <c r="B83">
        <v>41</v>
      </c>
    </row>
    <row r="84" spans="1:2" x14ac:dyDescent="0.35">
      <c r="A84">
        <v>95</v>
      </c>
      <c r="B84">
        <v>40.000000000007276</v>
      </c>
    </row>
    <row r="85" spans="1:2" x14ac:dyDescent="0.35">
      <c r="A85">
        <v>96</v>
      </c>
      <c r="B85">
        <v>38.999999999992724</v>
      </c>
    </row>
    <row r="86" spans="1:2" x14ac:dyDescent="0.35">
      <c r="A86">
        <v>97</v>
      </c>
      <c r="B86">
        <v>42.000000000007276</v>
      </c>
    </row>
    <row r="87" spans="1:2" x14ac:dyDescent="0.35">
      <c r="A87">
        <v>98</v>
      </c>
      <c r="B87">
        <v>44</v>
      </c>
    </row>
    <row r="88" spans="1:2" x14ac:dyDescent="0.35">
      <c r="A88">
        <v>99</v>
      </c>
      <c r="B88">
        <v>36.999999999992724</v>
      </c>
    </row>
    <row r="89" spans="1:2" x14ac:dyDescent="0.35">
      <c r="A89">
        <v>100</v>
      </c>
      <c r="B89">
        <v>40.000000000007276</v>
      </c>
    </row>
    <row r="90" spans="1:2" x14ac:dyDescent="0.35">
      <c r="A90">
        <v>101</v>
      </c>
      <c r="B90">
        <v>38.999999999992724</v>
      </c>
    </row>
    <row r="91" spans="1:2" x14ac:dyDescent="0.35">
      <c r="A91">
        <v>102</v>
      </c>
      <c r="B91">
        <v>39.000000000007276</v>
      </c>
    </row>
    <row r="92" spans="1:2" x14ac:dyDescent="0.35">
      <c r="A92">
        <v>105</v>
      </c>
      <c r="B92">
        <v>53</v>
      </c>
    </row>
    <row r="93" spans="1:2" x14ac:dyDescent="0.35">
      <c r="A93">
        <v>106</v>
      </c>
      <c r="B93">
        <v>35</v>
      </c>
    </row>
    <row r="94" spans="1:2" x14ac:dyDescent="0.35">
      <c r="A94">
        <v>107</v>
      </c>
      <c r="B94">
        <v>34</v>
      </c>
    </row>
    <row r="95" spans="1:2" x14ac:dyDescent="0.35">
      <c r="A95">
        <v>108</v>
      </c>
      <c r="B95">
        <v>32.999999999992724</v>
      </c>
    </row>
    <row r="96" spans="1:2" x14ac:dyDescent="0.35">
      <c r="A96">
        <v>109</v>
      </c>
      <c r="B96">
        <v>38</v>
      </c>
    </row>
    <row r="97" spans="1:2" x14ac:dyDescent="0.35">
      <c r="A97">
        <v>110</v>
      </c>
      <c r="B97">
        <v>35.000000000014552</v>
      </c>
    </row>
    <row r="98" spans="1:2" x14ac:dyDescent="0.35">
      <c r="A98">
        <v>111</v>
      </c>
      <c r="B98">
        <v>36.999999999992724</v>
      </c>
    </row>
    <row r="99" spans="1:2" x14ac:dyDescent="0.35">
      <c r="A99">
        <v>112</v>
      </c>
      <c r="B99">
        <v>37</v>
      </c>
    </row>
    <row r="100" spans="1:2" x14ac:dyDescent="0.35">
      <c r="A100">
        <v>113</v>
      </c>
      <c r="B100">
        <v>37</v>
      </c>
    </row>
    <row r="101" spans="1:2" x14ac:dyDescent="0.35">
      <c r="A101">
        <v>114</v>
      </c>
      <c r="B101">
        <v>36.999999999992724</v>
      </c>
    </row>
    <row r="102" spans="1:2" x14ac:dyDescent="0.35">
      <c r="A102">
        <v>115</v>
      </c>
      <c r="B102">
        <v>40.000000000007276</v>
      </c>
    </row>
    <row r="103" spans="1:2" x14ac:dyDescent="0.35">
      <c r="A103">
        <v>116</v>
      </c>
      <c r="B103">
        <v>52</v>
      </c>
    </row>
    <row r="104" spans="1:2" x14ac:dyDescent="0.35">
      <c r="A104">
        <v>117</v>
      </c>
      <c r="B104">
        <v>55</v>
      </c>
    </row>
    <row r="105" spans="1:2" x14ac:dyDescent="0.35">
      <c r="A105">
        <v>118</v>
      </c>
      <c r="B105">
        <v>41</v>
      </c>
    </row>
    <row r="106" spans="1:2" x14ac:dyDescent="0.35">
      <c r="A106">
        <v>119</v>
      </c>
      <c r="B106">
        <v>40</v>
      </c>
    </row>
    <row r="107" spans="1:2" x14ac:dyDescent="0.35">
      <c r="A107">
        <v>121</v>
      </c>
      <c r="B107">
        <v>36</v>
      </c>
    </row>
    <row r="108" spans="1:2" x14ac:dyDescent="0.35">
      <c r="A108">
        <v>122</v>
      </c>
      <c r="B108">
        <v>33.999999999992724</v>
      </c>
    </row>
    <row r="109" spans="1:2" x14ac:dyDescent="0.35">
      <c r="A109">
        <v>123</v>
      </c>
      <c r="B109">
        <v>42.000000000007276</v>
      </c>
    </row>
    <row r="110" spans="1:2" x14ac:dyDescent="0.35">
      <c r="A110">
        <v>124</v>
      </c>
      <c r="B110">
        <v>33.999999999992724</v>
      </c>
    </row>
    <row r="111" spans="1:2" x14ac:dyDescent="0.35">
      <c r="A111">
        <v>125</v>
      </c>
      <c r="B111">
        <v>32.000000000007276</v>
      </c>
    </row>
    <row r="112" spans="1:2" x14ac:dyDescent="0.35">
      <c r="A112">
        <v>126</v>
      </c>
      <c r="B112">
        <v>33</v>
      </c>
    </row>
    <row r="113" spans="1:2" x14ac:dyDescent="0.35">
      <c r="A113">
        <v>127</v>
      </c>
      <c r="B113">
        <v>32</v>
      </c>
    </row>
    <row r="114" spans="1:2" x14ac:dyDescent="0.35">
      <c r="A114">
        <v>128</v>
      </c>
      <c r="B114">
        <v>31</v>
      </c>
    </row>
    <row r="115" spans="1:2" x14ac:dyDescent="0.35">
      <c r="A115">
        <v>129</v>
      </c>
      <c r="B115">
        <v>32</v>
      </c>
    </row>
    <row r="116" spans="1:2" x14ac:dyDescent="0.35">
      <c r="A116">
        <v>130</v>
      </c>
      <c r="B116">
        <v>30</v>
      </c>
    </row>
    <row r="117" spans="1:2" x14ac:dyDescent="0.35">
      <c r="A117">
        <v>131</v>
      </c>
      <c r="B117">
        <v>29</v>
      </c>
    </row>
    <row r="118" spans="1:2" x14ac:dyDescent="0.35">
      <c r="A118">
        <v>132</v>
      </c>
      <c r="B118">
        <v>31</v>
      </c>
    </row>
    <row r="119" spans="1:2" x14ac:dyDescent="0.35">
      <c r="A119">
        <v>133</v>
      </c>
      <c r="B119">
        <v>30</v>
      </c>
    </row>
    <row r="120" spans="1:2" x14ac:dyDescent="0.35">
      <c r="A120">
        <v>134</v>
      </c>
      <c r="B120">
        <v>36</v>
      </c>
    </row>
    <row r="121" spans="1:2" x14ac:dyDescent="0.35">
      <c r="A121">
        <v>135</v>
      </c>
      <c r="B121">
        <v>32</v>
      </c>
    </row>
    <row r="122" spans="1:2" x14ac:dyDescent="0.35">
      <c r="A122">
        <v>136</v>
      </c>
      <c r="B122">
        <v>34.000000000007276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388A-3676-4BB0-9138-CDB727841355}">
  <dimension ref="A1:B122"/>
  <sheetViews>
    <sheetView tabSelected="1" zoomScale="160" zoomScaleNormal="160" workbookViewId="0">
      <selection activeCell="B123" sqref="B123"/>
    </sheetView>
  </sheetViews>
  <sheetFormatPr defaultRowHeight="14.5" x14ac:dyDescent="0.35"/>
  <sheetData>
    <row r="1" spans="1:2" x14ac:dyDescent="0.35">
      <c r="A1" t="s">
        <v>627</v>
      </c>
      <c r="B1" t="s">
        <v>476</v>
      </c>
    </row>
    <row r="2" spans="1:2" x14ac:dyDescent="0.35">
      <c r="A2">
        <v>137</v>
      </c>
      <c r="B2">
        <v>28.000000000007276</v>
      </c>
    </row>
    <row r="3" spans="1:2" x14ac:dyDescent="0.35">
      <c r="A3">
        <v>138</v>
      </c>
      <c r="B3">
        <v>26.000000000007276</v>
      </c>
    </row>
    <row r="4" spans="1:2" x14ac:dyDescent="0.35">
      <c r="A4">
        <v>139</v>
      </c>
      <c r="B4">
        <v>29.999999999992724</v>
      </c>
    </row>
    <row r="5" spans="1:2" x14ac:dyDescent="0.35">
      <c r="A5">
        <v>140</v>
      </c>
      <c r="B5">
        <v>24</v>
      </c>
    </row>
    <row r="6" spans="1:2" x14ac:dyDescent="0.35">
      <c r="A6">
        <v>142</v>
      </c>
      <c r="B6">
        <v>24.000000000007276</v>
      </c>
    </row>
    <row r="7" spans="1:2" x14ac:dyDescent="0.35">
      <c r="A7">
        <v>143</v>
      </c>
      <c r="B7">
        <v>21.999999999985448</v>
      </c>
    </row>
    <row r="8" spans="1:2" x14ac:dyDescent="0.35">
      <c r="A8">
        <v>144</v>
      </c>
      <c r="B8">
        <v>26.000000000007276</v>
      </c>
    </row>
    <row r="9" spans="1:2" x14ac:dyDescent="0.35">
      <c r="A9">
        <v>145</v>
      </c>
      <c r="B9">
        <v>24</v>
      </c>
    </row>
    <row r="10" spans="1:2" x14ac:dyDescent="0.35">
      <c r="A10">
        <v>146</v>
      </c>
      <c r="B10">
        <v>24</v>
      </c>
    </row>
    <row r="11" spans="1:2" x14ac:dyDescent="0.35">
      <c r="A11">
        <v>147</v>
      </c>
      <c r="B11">
        <v>31</v>
      </c>
    </row>
    <row r="12" spans="1:2" x14ac:dyDescent="0.35">
      <c r="A12">
        <v>148</v>
      </c>
      <c r="B12">
        <v>32</v>
      </c>
    </row>
    <row r="13" spans="1:2" x14ac:dyDescent="0.35">
      <c r="A13">
        <v>149</v>
      </c>
      <c r="B13">
        <v>31</v>
      </c>
    </row>
    <row r="14" spans="1:2" x14ac:dyDescent="0.35">
      <c r="A14">
        <v>150</v>
      </c>
      <c r="B14">
        <v>29</v>
      </c>
    </row>
    <row r="15" spans="1:2" x14ac:dyDescent="0.35">
      <c r="A15">
        <v>151</v>
      </c>
      <c r="B15">
        <v>33.000000000007276</v>
      </c>
    </row>
    <row r="16" spans="1:2" x14ac:dyDescent="0.35">
      <c r="A16">
        <v>152</v>
      </c>
      <c r="B16">
        <v>31.999999999992724</v>
      </c>
    </row>
    <row r="17" spans="1:2" x14ac:dyDescent="0.35">
      <c r="A17">
        <v>153</v>
      </c>
      <c r="B17">
        <v>35</v>
      </c>
    </row>
    <row r="18" spans="1:2" x14ac:dyDescent="0.35">
      <c r="A18">
        <v>154</v>
      </c>
      <c r="B18">
        <v>37.000000000007276</v>
      </c>
    </row>
    <row r="19" spans="1:2" x14ac:dyDescent="0.35">
      <c r="A19">
        <v>155</v>
      </c>
      <c r="B19">
        <v>36.999999999992724</v>
      </c>
    </row>
    <row r="20" spans="1:2" x14ac:dyDescent="0.35">
      <c r="A20">
        <v>156</v>
      </c>
      <c r="B20">
        <v>28</v>
      </c>
    </row>
    <row r="21" spans="1:2" x14ac:dyDescent="0.35">
      <c r="A21">
        <v>158</v>
      </c>
      <c r="B21">
        <v>32.999999999992724</v>
      </c>
    </row>
    <row r="22" spans="1:2" x14ac:dyDescent="0.35">
      <c r="A22">
        <v>159</v>
      </c>
      <c r="B22">
        <v>32.999999999992724</v>
      </c>
    </row>
    <row r="23" spans="1:2" x14ac:dyDescent="0.35">
      <c r="A23">
        <v>160</v>
      </c>
      <c r="B23">
        <v>36.000000000007276</v>
      </c>
    </row>
    <row r="24" spans="1:2" x14ac:dyDescent="0.35">
      <c r="A24">
        <v>162</v>
      </c>
      <c r="B24">
        <v>29</v>
      </c>
    </row>
    <row r="25" spans="1:2" x14ac:dyDescent="0.35">
      <c r="A25">
        <v>163</v>
      </c>
      <c r="B25">
        <v>26.999999999992724</v>
      </c>
    </row>
    <row r="26" spans="1:2" x14ac:dyDescent="0.35">
      <c r="A26">
        <v>164</v>
      </c>
      <c r="B26">
        <v>34.000000000007276</v>
      </c>
    </row>
    <row r="27" spans="1:2" x14ac:dyDescent="0.35">
      <c r="A27">
        <v>166</v>
      </c>
      <c r="B27">
        <v>30.999999999992724</v>
      </c>
    </row>
    <row r="28" spans="1:2" x14ac:dyDescent="0.35">
      <c r="A28">
        <v>167</v>
      </c>
      <c r="B28">
        <v>31.000000000007276</v>
      </c>
    </row>
    <row r="29" spans="1:2" x14ac:dyDescent="0.35">
      <c r="A29">
        <v>168</v>
      </c>
      <c r="B29">
        <v>34</v>
      </c>
    </row>
    <row r="30" spans="1:2" x14ac:dyDescent="0.35">
      <c r="A30">
        <v>169</v>
      </c>
      <c r="B30">
        <v>30.000000000007276</v>
      </c>
    </row>
    <row r="31" spans="1:2" x14ac:dyDescent="0.35">
      <c r="A31">
        <v>170</v>
      </c>
      <c r="B31">
        <v>29.999999999992724</v>
      </c>
    </row>
    <row r="32" spans="1:2" x14ac:dyDescent="0.35">
      <c r="A32">
        <v>171</v>
      </c>
      <c r="B32">
        <v>33.000000000007276</v>
      </c>
    </row>
    <row r="33" spans="1:2" x14ac:dyDescent="0.35">
      <c r="A33">
        <v>172</v>
      </c>
      <c r="B33">
        <v>33.999999999992724</v>
      </c>
    </row>
    <row r="34" spans="1:2" x14ac:dyDescent="0.35">
      <c r="A34">
        <v>173</v>
      </c>
      <c r="B34">
        <v>31</v>
      </c>
    </row>
    <row r="35" spans="1:2" x14ac:dyDescent="0.35">
      <c r="A35">
        <v>175</v>
      </c>
      <c r="B35">
        <v>38</v>
      </c>
    </row>
    <row r="36" spans="1:2" x14ac:dyDescent="0.35">
      <c r="A36">
        <v>179</v>
      </c>
      <c r="B36">
        <v>30.000000000007276</v>
      </c>
    </row>
    <row r="37" spans="1:2" x14ac:dyDescent="0.35">
      <c r="A37">
        <v>180</v>
      </c>
      <c r="B37">
        <v>32.999999999992724</v>
      </c>
    </row>
    <row r="38" spans="1:2" x14ac:dyDescent="0.35">
      <c r="A38">
        <v>182</v>
      </c>
      <c r="B38">
        <v>28.000000000007276</v>
      </c>
    </row>
    <row r="39" spans="1:2" x14ac:dyDescent="0.35">
      <c r="A39">
        <v>183</v>
      </c>
      <c r="B39">
        <v>27.999999999985448</v>
      </c>
    </row>
    <row r="40" spans="1:2" x14ac:dyDescent="0.35">
      <c r="A40">
        <v>184</v>
      </c>
      <c r="B40">
        <v>26.000000000007276</v>
      </c>
    </row>
    <row r="41" spans="1:2" x14ac:dyDescent="0.35">
      <c r="A41">
        <v>185</v>
      </c>
      <c r="B41">
        <v>27</v>
      </c>
    </row>
    <row r="42" spans="1:2" x14ac:dyDescent="0.35">
      <c r="A42">
        <v>186</v>
      </c>
      <c r="B42">
        <v>26.000000000007276</v>
      </c>
    </row>
    <row r="43" spans="1:2" x14ac:dyDescent="0.35">
      <c r="A43">
        <v>188</v>
      </c>
      <c r="B43">
        <v>46.000000000007276</v>
      </c>
    </row>
    <row r="44" spans="1:2" x14ac:dyDescent="0.35">
      <c r="A44">
        <v>190</v>
      </c>
      <c r="B44">
        <v>33.000000000007276</v>
      </c>
    </row>
    <row r="45" spans="1:2" x14ac:dyDescent="0.35">
      <c r="A45">
        <v>192</v>
      </c>
      <c r="B45">
        <v>26</v>
      </c>
    </row>
    <row r="46" spans="1:2" x14ac:dyDescent="0.35">
      <c r="A46">
        <v>193</v>
      </c>
      <c r="B46">
        <v>30.000000000007276</v>
      </c>
    </row>
    <row r="47" spans="1:2" x14ac:dyDescent="0.35">
      <c r="A47">
        <v>194</v>
      </c>
      <c r="B47">
        <v>30.999999999992724</v>
      </c>
    </row>
    <row r="48" spans="1:2" x14ac:dyDescent="0.35">
      <c r="A48">
        <v>195</v>
      </c>
      <c r="B48">
        <v>34.999999999992724</v>
      </c>
    </row>
    <row r="49" spans="1:2" x14ac:dyDescent="0.35">
      <c r="A49">
        <v>196</v>
      </c>
      <c r="B49">
        <v>37</v>
      </c>
    </row>
    <row r="50" spans="1:2" x14ac:dyDescent="0.35">
      <c r="A50">
        <v>197</v>
      </c>
      <c r="B50">
        <v>41</v>
      </c>
    </row>
    <row r="51" spans="1:2" x14ac:dyDescent="0.35">
      <c r="A51">
        <v>198</v>
      </c>
      <c r="B51">
        <v>38</v>
      </c>
    </row>
    <row r="52" spans="1:2" x14ac:dyDescent="0.35">
      <c r="A52">
        <v>199</v>
      </c>
      <c r="B52">
        <v>36</v>
      </c>
    </row>
    <row r="53" spans="1:2" x14ac:dyDescent="0.35">
      <c r="A53">
        <v>200</v>
      </c>
      <c r="B53">
        <v>34</v>
      </c>
    </row>
    <row r="54" spans="1:2" x14ac:dyDescent="0.35">
      <c r="A54">
        <v>201</v>
      </c>
      <c r="B54">
        <v>34</v>
      </c>
    </row>
    <row r="55" spans="1:2" x14ac:dyDescent="0.35">
      <c r="A55">
        <v>202</v>
      </c>
      <c r="B55">
        <v>36.999999999992724</v>
      </c>
    </row>
    <row r="56" spans="1:2" x14ac:dyDescent="0.35">
      <c r="A56">
        <v>203</v>
      </c>
      <c r="B56">
        <v>38</v>
      </c>
    </row>
    <row r="57" spans="1:2" x14ac:dyDescent="0.35">
      <c r="A57">
        <v>204</v>
      </c>
      <c r="B57">
        <v>37.000000000007276</v>
      </c>
    </row>
    <row r="58" spans="1:2" x14ac:dyDescent="0.35">
      <c r="A58">
        <v>205</v>
      </c>
      <c r="B58">
        <v>37</v>
      </c>
    </row>
    <row r="59" spans="1:2" x14ac:dyDescent="0.35">
      <c r="A59">
        <v>206</v>
      </c>
      <c r="B59">
        <v>41</v>
      </c>
    </row>
    <row r="60" spans="1:2" x14ac:dyDescent="0.35">
      <c r="A60">
        <v>207</v>
      </c>
      <c r="B60">
        <v>42</v>
      </c>
    </row>
    <row r="61" spans="1:2" x14ac:dyDescent="0.35">
      <c r="A61">
        <v>208</v>
      </c>
      <c r="B61">
        <v>49</v>
      </c>
    </row>
    <row r="62" spans="1:2" x14ac:dyDescent="0.35">
      <c r="A62">
        <v>209</v>
      </c>
      <c r="B62">
        <v>42</v>
      </c>
    </row>
    <row r="63" spans="1:2" x14ac:dyDescent="0.35">
      <c r="A63">
        <v>211</v>
      </c>
      <c r="B63">
        <v>34</v>
      </c>
    </row>
    <row r="64" spans="1:2" x14ac:dyDescent="0.35">
      <c r="A64">
        <v>212</v>
      </c>
      <c r="B64">
        <v>31</v>
      </c>
    </row>
    <row r="65" spans="1:2" x14ac:dyDescent="0.35">
      <c r="A65">
        <v>213</v>
      </c>
      <c r="B65">
        <v>32</v>
      </c>
    </row>
    <row r="66" spans="1:2" x14ac:dyDescent="0.35">
      <c r="A66">
        <v>214</v>
      </c>
      <c r="B66">
        <v>31</v>
      </c>
    </row>
    <row r="67" spans="1:2" x14ac:dyDescent="0.35">
      <c r="A67">
        <v>215</v>
      </c>
      <c r="B67">
        <v>30</v>
      </c>
    </row>
    <row r="68" spans="1:2" x14ac:dyDescent="0.35">
      <c r="A68">
        <v>216</v>
      </c>
      <c r="B68">
        <v>34</v>
      </c>
    </row>
    <row r="69" spans="1:2" x14ac:dyDescent="0.35">
      <c r="A69">
        <v>217</v>
      </c>
      <c r="B69">
        <v>34</v>
      </c>
    </row>
    <row r="70" spans="1:2" x14ac:dyDescent="0.35">
      <c r="A70">
        <v>218</v>
      </c>
      <c r="B70">
        <v>32</v>
      </c>
    </row>
    <row r="71" spans="1:2" x14ac:dyDescent="0.35">
      <c r="A71">
        <v>219</v>
      </c>
      <c r="B71">
        <v>35</v>
      </c>
    </row>
    <row r="72" spans="1:2" x14ac:dyDescent="0.35">
      <c r="A72">
        <v>220</v>
      </c>
      <c r="B72">
        <v>35</v>
      </c>
    </row>
    <row r="73" spans="1:2" x14ac:dyDescent="0.35">
      <c r="A73">
        <v>221</v>
      </c>
      <c r="B73">
        <v>34</v>
      </c>
    </row>
    <row r="74" spans="1:2" x14ac:dyDescent="0.35">
      <c r="A74">
        <v>222</v>
      </c>
      <c r="B74">
        <v>41</v>
      </c>
    </row>
    <row r="75" spans="1:2" x14ac:dyDescent="0.35">
      <c r="A75">
        <v>223</v>
      </c>
      <c r="B75">
        <v>38</v>
      </c>
    </row>
    <row r="76" spans="1:2" x14ac:dyDescent="0.35">
      <c r="A76">
        <v>224</v>
      </c>
      <c r="B76">
        <v>40</v>
      </c>
    </row>
    <row r="77" spans="1:2" x14ac:dyDescent="0.35">
      <c r="A77">
        <v>225</v>
      </c>
      <c r="B77">
        <v>36.999999999992724</v>
      </c>
    </row>
    <row r="78" spans="1:2" x14ac:dyDescent="0.35">
      <c r="A78">
        <v>226</v>
      </c>
      <c r="B78">
        <v>34.000000000007276</v>
      </c>
    </row>
    <row r="79" spans="1:2" x14ac:dyDescent="0.35">
      <c r="A79">
        <v>228</v>
      </c>
      <c r="B79">
        <v>35.999999999992724</v>
      </c>
    </row>
    <row r="80" spans="1:2" x14ac:dyDescent="0.35">
      <c r="A80">
        <v>229</v>
      </c>
      <c r="B80">
        <v>31</v>
      </c>
    </row>
    <row r="81" spans="1:2" x14ac:dyDescent="0.35">
      <c r="A81">
        <v>231</v>
      </c>
      <c r="B81">
        <v>24</v>
      </c>
    </row>
    <row r="82" spans="1:2" x14ac:dyDescent="0.35">
      <c r="A82">
        <v>232</v>
      </c>
      <c r="B82">
        <v>27</v>
      </c>
    </row>
    <row r="83" spans="1:2" x14ac:dyDescent="0.35">
      <c r="A83">
        <v>233</v>
      </c>
      <c r="B83">
        <v>28</v>
      </c>
    </row>
    <row r="84" spans="1:2" x14ac:dyDescent="0.35">
      <c r="A84">
        <v>234</v>
      </c>
      <c r="B84">
        <v>27</v>
      </c>
    </row>
    <row r="85" spans="1:2" x14ac:dyDescent="0.35">
      <c r="A85">
        <v>235</v>
      </c>
      <c r="B85">
        <v>42.999999999992724</v>
      </c>
    </row>
    <row r="86" spans="1:2" x14ac:dyDescent="0.35">
      <c r="A86">
        <v>236</v>
      </c>
      <c r="B86">
        <v>54</v>
      </c>
    </row>
    <row r="87" spans="1:2" x14ac:dyDescent="0.35">
      <c r="A87">
        <v>237</v>
      </c>
      <c r="B87">
        <v>33</v>
      </c>
    </row>
    <row r="88" spans="1:2" x14ac:dyDescent="0.35">
      <c r="A88">
        <v>238</v>
      </c>
      <c r="B88">
        <v>32</v>
      </c>
    </row>
    <row r="89" spans="1:2" x14ac:dyDescent="0.35">
      <c r="A89">
        <v>240</v>
      </c>
      <c r="B89">
        <v>37</v>
      </c>
    </row>
    <row r="90" spans="1:2" x14ac:dyDescent="0.35">
      <c r="A90">
        <v>241</v>
      </c>
      <c r="B90">
        <v>26</v>
      </c>
    </row>
    <row r="91" spans="1:2" x14ac:dyDescent="0.35">
      <c r="A91">
        <v>242</v>
      </c>
      <c r="B91">
        <v>28</v>
      </c>
    </row>
    <row r="92" spans="1:2" x14ac:dyDescent="0.35">
      <c r="A92">
        <v>243</v>
      </c>
      <c r="B92">
        <v>38</v>
      </c>
    </row>
    <row r="93" spans="1:2" x14ac:dyDescent="0.35">
      <c r="A93">
        <v>244</v>
      </c>
      <c r="B93">
        <v>36</v>
      </c>
    </row>
    <row r="94" spans="1:2" x14ac:dyDescent="0.35">
      <c r="A94">
        <v>245</v>
      </c>
      <c r="B94">
        <v>33</v>
      </c>
    </row>
    <row r="95" spans="1:2" x14ac:dyDescent="0.35">
      <c r="A95">
        <v>246</v>
      </c>
      <c r="B95">
        <v>33.999999999992724</v>
      </c>
    </row>
    <row r="96" spans="1:2" x14ac:dyDescent="0.35">
      <c r="A96">
        <v>247</v>
      </c>
      <c r="B96">
        <v>33.000000000007276</v>
      </c>
    </row>
    <row r="97" spans="1:2" x14ac:dyDescent="0.35">
      <c r="A97">
        <v>248</v>
      </c>
      <c r="B97">
        <v>32.999999999992724</v>
      </c>
    </row>
    <row r="98" spans="1:2" x14ac:dyDescent="0.35">
      <c r="A98">
        <v>249</v>
      </c>
      <c r="B98">
        <v>39.000000000007276</v>
      </c>
    </row>
    <row r="99" spans="1:2" x14ac:dyDescent="0.35">
      <c r="A99">
        <v>250</v>
      </c>
      <c r="B99">
        <v>35</v>
      </c>
    </row>
    <row r="100" spans="1:2" x14ac:dyDescent="0.35">
      <c r="A100">
        <v>251</v>
      </c>
      <c r="B100">
        <v>35</v>
      </c>
    </row>
    <row r="101" spans="1:2" x14ac:dyDescent="0.35">
      <c r="A101">
        <v>252</v>
      </c>
      <c r="B101">
        <v>36</v>
      </c>
    </row>
    <row r="102" spans="1:2" x14ac:dyDescent="0.35">
      <c r="A102">
        <v>253</v>
      </c>
      <c r="B102">
        <v>36</v>
      </c>
    </row>
    <row r="103" spans="1:2" x14ac:dyDescent="0.35">
      <c r="A103">
        <v>254</v>
      </c>
      <c r="B103">
        <v>35</v>
      </c>
    </row>
    <row r="104" spans="1:2" x14ac:dyDescent="0.35">
      <c r="A104">
        <v>255</v>
      </c>
      <c r="B104">
        <v>39</v>
      </c>
    </row>
    <row r="105" spans="1:2" x14ac:dyDescent="0.35">
      <c r="A105">
        <v>256</v>
      </c>
      <c r="B105">
        <v>36</v>
      </c>
    </row>
    <row r="106" spans="1:2" x14ac:dyDescent="0.35">
      <c r="A106">
        <v>258</v>
      </c>
      <c r="B106">
        <v>31.999999999992724</v>
      </c>
    </row>
    <row r="107" spans="1:2" x14ac:dyDescent="0.35">
      <c r="A107">
        <v>259</v>
      </c>
      <c r="B107">
        <v>30.000000000007276</v>
      </c>
    </row>
    <row r="108" spans="1:2" x14ac:dyDescent="0.35">
      <c r="A108">
        <v>260</v>
      </c>
      <c r="B108">
        <v>32</v>
      </c>
    </row>
    <row r="109" spans="1:2" x14ac:dyDescent="0.35">
      <c r="A109">
        <v>261</v>
      </c>
      <c r="B109">
        <v>34</v>
      </c>
    </row>
    <row r="110" spans="1:2" x14ac:dyDescent="0.35">
      <c r="A110">
        <v>262</v>
      </c>
      <c r="B110">
        <v>34</v>
      </c>
    </row>
    <row r="111" spans="1:2" x14ac:dyDescent="0.35">
      <c r="A111">
        <v>263</v>
      </c>
      <c r="B111">
        <v>33</v>
      </c>
    </row>
    <row r="112" spans="1:2" x14ac:dyDescent="0.35">
      <c r="A112">
        <v>264</v>
      </c>
      <c r="B112">
        <v>35</v>
      </c>
    </row>
    <row r="113" spans="1:2" x14ac:dyDescent="0.35">
      <c r="A113">
        <v>266</v>
      </c>
      <c r="B113">
        <v>33</v>
      </c>
    </row>
    <row r="114" spans="1:2" x14ac:dyDescent="0.35">
      <c r="A114">
        <v>267</v>
      </c>
      <c r="B114">
        <v>37.000000000007276</v>
      </c>
    </row>
    <row r="115" spans="1:2" x14ac:dyDescent="0.35">
      <c r="A115">
        <v>268</v>
      </c>
      <c r="B115">
        <v>35.999999999992724</v>
      </c>
    </row>
    <row r="116" spans="1:2" x14ac:dyDescent="0.35">
      <c r="A116">
        <v>269</v>
      </c>
      <c r="B116">
        <v>36</v>
      </c>
    </row>
    <row r="117" spans="1:2" x14ac:dyDescent="0.35">
      <c r="A117">
        <v>270</v>
      </c>
      <c r="B117">
        <v>47</v>
      </c>
    </row>
    <row r="118" spans="1:2" x14ac:dyDescent="0.35">
      <c r="A118">
        <v>271</v>
      </c>
      <c r="B118">
        <v>38</v>
      </c>
    </row>
    <row r="119" spans="1:2" x14ac:dyDescent="0.35">
      <c r="A119">
        <v>272</v>
      </c>
      <c r="B119">
        <v>37</v>
      </c>
    </row>
    <row r="120" spans="1:2" x14ac:dyDescent="0.35">
      <c r="A120">
        <v>273</v>
      </c>
      <c r="B120">
        <v>38.999999999992724</v>
      </c>
    </row>
    <row r="121" spans="1:2" x14ac:dyDescent="0.35">
      <c r="A121">
        <v>276</v>
      </c>
      <c r="B121">
        <v>44</v>
      </c>
    </row>
    <row r="122" spans="1:2" x14ac:dyDescent="0.35">
      <c r="A122">
        <v>277</v>
      </c>
      <c r="B122">
        <v>25.999999999992724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List1</vt:lpstr>
      <vt:lpstr>List2</vt:lpstr>
      <vt:lpstr>List1 (2)</vt:lpstr>
      <vt:lpstr>List1 (3)</vt:lpstr>
      <vt:lpstr>Sheet4</vt:lpstr>
      <vt:lpstr>Sheet1 (2)</vt:lpstr>
      <vt:lpstr>Sheet1 (3)</vt:lpstr>
      <vt:lpstr>Sheet5</vt:lpstr>
      <vt:lpstr>Sheet6</vt:lpstr>
      <vt:lpstr>Timelaps-1-4</vt:lpstr>
      <vt:lpstr>Timelaps-5-10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Kilincarslan, Furkan</dc:creator>
  <cp:keywords/>
  <dc:description/>
  <cp:lastModifiedBy>Usmanov, Vjaceslav</cp:lastModifiedBy>
  <cp:revision/>
  <dcterms:created xsi:type="dcterms:W3CDTF">2026-02-09T17:10:21Z</dcterms:created>
  <dcterms:modified xsi:type="dcterms:W3CDTF">2026-02-18T23:14:45Z</dcterms:modified>
  <cp:category/>
  <cp:contentStatus/>
</cp:coreProperties>
</file>